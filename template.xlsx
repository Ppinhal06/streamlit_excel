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cctl.sharepoint.com/sites/DCC/Shared Documents/Quotes/"/>
    </mc:Choice>
  </mc:AlternateContent>
  <xr:revisionPtr revIDLastSave="895" documentId="13_ncr:1_{FFADEE14-CD1E-4465-8477-79B77623A600}" xr6:coauthVersionLast="47" xr6:coauthVersionMax="47" xr10:uidLastSave="{740F20D9-0D02-4369-AB4A-436A3FDBA058}"/>
  <bookViews>
    <workbookView xWindow="-108" yWindow="-108" windowWidth="23256" windowHeight="12456" tabRatio="917" xr2:uid="{00000000-000D-0000-FFFF-FFFF00000000}"/>
  </bookViews>
  <sheets>
    <sheet name="Points List" sheetId="71" r:id="rId1"/>
  </sheets>
  <externalReferences>
    <externalReference r:id="rId2"/>
  </externalReferences>
  <definedNames>
    <definedName name="ATP_Discount">#REF!</definedName>
    <definedName name="Comm_Hour" localSheetId="0">[1]Source!$C$9</definedName>
    <definedName name="Comm_Hour">#REF!</definedName>
    <definedName name="Comm_point">#REF!</definedName>
    <definedName name="Cylon_Discount" localSheetId="0">[1]Source!$C$3</definedName>
    <definedName name="Cylon_Discount">#REF!</definedName>
    <definedName name="Daily_Subsistence" localSheetId="0">[1]Source!$C$12</definedName>
    <definedName name="Daily_Subsistence">#REF!</definedName>
    <definedName name="Eng_point">#REF!</definedName>
    <definedName name="Evening_Allowance" localSheetId="0">[1]Source!$C$13</definedName>
    <definedName name="Evening_Allowance">#REF!</definedName>
    <definedName name="FCU_M_EANDC" localSheetId="0">[1]Source!$C$10</definedName>
    <definedName name="FCU_M_EANDC">#REF!</definedName>
    <definedName name="FCU_S_EANDC" localSheetId="0">[1]Source!$C$11</definedName>
    <definedName name="FCU_S_EANDC">#REF!</definedName>
    <definedName name="HandC_Discount" localSheetId="0">[1]Source!$C$5</definedName>
    <definedName name="HandC_Discount">#REF!</definedName>
    <definedName name="Overnight_Allowance" localSheetId="0">[1]Source!$C$14</definedName>
    <definedName name="Overnight_Allowance">#REF!</definedName>
    <definedName name="_xlnm.Print_Area" localSheetId="0">'Points List'!$B$1:$I$319</definedName>
    <definedName name="_xlnm.Print_Titles" localSheetId="0">'Points List'!$1:$6</definedName>
    <definedName name="Siemens_Discount" localSheetId="0">[1]Source!$C$4</definedName>
    <definedName name="Siemens_Discount">#REF!</definedName>
    <definedName name="Sontay_Discount" localSheetId="0">[1]Source!$C$6</definedName>
    <definedName name="Sontay_Discount">#REF!</definedName>
    <definedName name="Sterling_Conversion" localSheetId="0">[1]Source!$C$2</definedName>
    <definedName name="Sterling_Conversion">#REF!</definedName>
    <definedName name="TA_Discou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56" i="71" l="1"/>
  <c r="M86" i="71"/>
  <c r="J269" i="71"/>
  <c r="K267" i="71"/>
  <c r="J263" i="71"/>
  <c r="E257" i="71"/>
  <c r="J254" i="71"/>
  <c r="K239" i="71"/>
  <c r="K235" i="71"/>
  <c r="L232" i="71"/>
  <c r="K232" i="71"/>
  <c r="J232" i="71"/>
  <c r="K231" i="71"/>
  <c r="K228" i="71"/>
  <c r="K221" i="71"/>
  <c r="K220" i="71"/>
  <c r="J179" i="71"/>
  <c r="K181" i="71"/>
  <c r="K176" i="71"/>
  <c r="K172" i="71"/>
  <c r="K163" i="71"/>
  <c r="K162" i="71"/>
  <c r="J148" i="71"/>
  <c r="K146" i="71"/>
  <c r="J120" i="71"/>
  <c r="J117" i="71"/>
  <c r="J105" i="71"/>
  <c r="J94" i="71"/>
  <c r="J91" i="71"/>
  <c r="J77" i="71"/>
  <c r="J63" i="71"/>
  <c r="J56" i="71"/>
  <c r="J53" i="71"/>
  <c r="J45" i="71"/>
  <c r="J29" i="71"/>
  <c r="J23" i="71"/>
  <c r="K279" i="71"/>
  <c r="K278" i="71"/>
  <c r="K240" i="71"/>
  <c r="K190" i="71"/>
  <c r="K189" i="71"/>
  <c r="K178" i="71"/>
  <c r="K177" i="71"/>
  <c r="K174" i="71"/>
  <c r="K173" i="71"/>
  <c r="K170" i="71"/>
  <c r="K169" i="71"/>
  <c r="K153" i="71"/>
  <c r="K142" i="71"/>
  <c r="K141" i="71"/>
  <c r="K129" i="71"/>
  <c r="K128" i="71"/>
  <c r="K50" i="71"/>
  <c r="K49" i="71"/>
  <c r="K41" i="71"/>
  <c r="K27" i="71"/>
  <c r="K26" i="71"/>
  <c r="H285" i="71"/>
  <c r="H284" i="71"/>
  <c r="H283" i="71"/>
  <c r="E15" i="71" l="1"/>
  <c r="K15" i="71" s="1"/>
  <c r="K292" i="71"/>
  <c r="K291" i="71"/>
  <c r="K290" i="71"/>
  <c r="C299" i="71"/>
  <c r="J283" i="71"/>
  <c r="J275" i="71"/>
  <c r="K273" i="71"/>
  <c r="J228" i="71"/>
  <c r="J203" i="71"/>
  <c r="J196" i="71"/>
  <c r="J193" i="71"/>
  <c r="J192" i="71"/>
  <c r="J186" i="71"/>
  <c r="J183" i="71"/>
  <c r="K168" i="71"/>
  <c r="E13" i="71"/>
  <c r="J12" i="71" l="1"/>
  <c r="K13" i="71"/>
  <c r="K60" i="71"/>
  <c r="J59" i="71"/>
  <c r="J37" i="71"/>
  <c r="J34" i="71"/>
  <c r="J31" i="71"/>
  <c r="J30" i="71"/>
  <c r="J20" i="71"/>
  <c r="J18" i="71"/>
  <c r="K144" i="71"/>
  <c r="J137" i="71"/>
  <c r="J133" i="71"/>
  <c r="J25" i="71"/>
  <c r="L57" i="71"/>
  <c r="F56" i="71"/>
  <c r="L56" i="71" s="1"/>
  <c r="D20" i="71" l="1"/>
  <c r="E19" i="71"/>
  <c r="L19" i="71" s="1"/>
  <c r="F18" i="71"/>
  <c r="L18" i="71" s="1"/>
  <c r="L20" i="71" l="1"/>
  <c r="K20" i="71"/>
  <c r="J19" i="71"/>
  <c r="E65" i="71" l="1"/>
  <c r="E284" i="71"/>
  <c r="F276" i="71"/>
  <c r="F270" i="71"/>
  <c r="F264" i="71"/>
  <c r="E258" i="71"/>
  <c r="C250" i="71"/>
  <c r="F246" i="71"/>
  <c r="J246" i="71" s="1"/>
  <c r="F243" i="71"/>
  <c r="D238" i="71"/>
  <c r="K238" i="71" s="1"/>
  <c r="C153" i="71"/>
  <c r="E149" i="71"/>
  <c r="F126" i="71"/>
  <c r="E121" i="71"/>
  <c r="E118" i="71"/>
  <c r="E109" i="71"/>
  <c r="E106" i="71"/>
  <c r="E98" i="71"/>
  <c r="E95" i="71"/>
  <c r="E92" i="71"/>
  <c r="E81" i="71"/>
  <c r="E78" i="71"/>
  <c r="E69" i="71"/>
  <c r="E64" i="71"/>
  <c r="F60" i="71"/>
  <c r="F53" i="71"/>
  <c r="F46" i="71"/>
  <c r="F38" i="71"/>
  <c r="E34" i="71"/>
  <c r="D280" i="71"/>
  <c r="C279" i="71"/>
  <c r="C278" i="71"/>
  <c r="E277" i="71"/>
  <c r="C273" i="71"/>
  <c r="D272" i="71"/>
  <c r="E271" i="71"/>
  <c r="C267" i="71"/>
  <c r="D266" i="71"/>
  <c r="E265" i="71"/>
  <c r="E261" i="71"/>
  <c r="J261" i="71" s="1"/>
  <c r="E260" i="71"/>
  <c r="J260" i="71" s="1"/>
  <c r="E259" i="71"/>
  <c r="C252" i="71"/>
  <c r="C251" i="71"/>
  <c r="E247" i="71"/>
  <c r="J247" i="71" s="1"/>
  <c r="E243" i="71"/>
  <c r="J243" i="71" s="1"/>
  <c r="C240" i="71"/>
  <c r="C239" i="71"/>
  <c r="E219" i="71"/>
  <c r="K219" i="71" s="1"/>
  <c r="E235" i="71"/>
  <c r="D234" i="71"/>
  <c r="E234" i="71"/>
  <c r="F234" i="71"/>
  <c r="F233" i="71"/>
  <c r="E233" i="71"/>
  <c r="E231" i="71"/>
  <c r="J231" i="71" s="1"/>
  <c r="F229" i="71"/>
  <c r="F230" i="71"/>
  <c r="D230" i="71"/>
  <c r="E230" i="71"/>
  <c r="E229" i="71"/>
  <c r="E227" i="71"/>
  <c r="C226" i="71"/>
  <c r="K226" i="71" s="1"/>
  <c r="C225" i="71"/>
  <c r="K225" i="71" s="1"/>
  <c r="C224" i="71"/>
  <c r="K224" i="71" s="1"/>
  <c r="C223" i="71"/>
  <c r="K223" i="71" s="1"/>
  <c r="C222" i="71"/>
  <c r="K222" i="71" s="1"/>
  <c r="C221" i="71"/>
  <c r="C220" i="71"/>
  <c r="C218" i="71"/>
  <c r="K218" i="71" s="1"/>
  <c r="C217" i="71"/>
  <c r="K217" i="71" s="1"/>
  <c r="C216" i="71"/>
  <c r="K216" i="71" s="1"/>
  <c r="E213" i="71"/>
  <c r="K213" i="71" s="1"/>
  <c r="C215" i="71"/>
  <c r="K215" i="71" s="1"/>
  <c r="C214" i="71"/>
  <c r="K214" i="71" s="1"/>
  <c r="C212" i="71"/>
  <c r="K212" i="71" s="1"/>
  <c r="C211" i="71"/>
  <c r="K211" i="71" s="1"/>
  <c r="C210" i="71"/>
  <c r="K210" i="71" s="1"/>
  <c r="C209" i="71"/>
  <c r="C208" i="71"/>
  <c r="D207" i="71"/>
  <c r="E206" i="71"/>
  <c r="E205" i="71"/>
  <c r="K205" i="71" s="1"/>
  <c r="F204" i="71"/>
  <c r="D204" i="71"/>
  <c r="E204" i="71"/>
  <c r="F202" i="71"/>
  <c r="C201" i="71"/>
  <c r="C200" i="71"/>
  <c r="D199" i="71"/>
  <c r="K199" i="71" s="1"/>
  <c r="E198" i="71"/>
  <c r="E195" i="71"/>
  <c r="F197" i="71"/>
  <c r="J197" i="71" s="1"/>
  <c r="E197" i="71"/>
  <c r="D197" i="71"/>
  <c r="C194" i="71"/>
  <c r="D193" i="71"/>
  <c r="E193" i="71"/>
  <c r="F193" i="71"/>
  <c r="C191" i="71"/>
  <c r="C190" i="71"/>
  <c r="C189" i="71"/>
  <c r="D188" i="71"/>
  <c r="E187" i="71"/>
  <c r="F187" i="71"/>
  <c r="F185" i="71"/>
  <c r="F184" i="71"/>
  <c r="E183" i="71"/>
  <c r="E181" i="71"/>
  <c r="F180" i="71"/>
  <c r="E180" i="71"/>
  <c r="D180" i="71"/>
  <c r="C178" i="71"/>
  <c r="C177" i="71"/>
  <c r="C176" i="71"/>
  <c r="D175" i="71"/>
  <c r="C174" i="71"/>
  <c r="C173" i="71"/>
  <c r="C172" i="71"/>
  <c r="D171" i="71"/>
  <c r="C170" i="71"/>
  <c r="C169" i="71"/>
  <c r="C168" i="71"/>
  <c r="D167" i="71"/>
  <c r="E166" i="71"/>
  <c r="K166" i="71" s="1"/>
  <c r="C165" i="71"/>
  <c r="K165" i="71" s="1"/>
  <c r="C164" i="71"/>
  <c r="K164" i="71" s="1"/>
  <c r="E163" i="71"/>
  <c r="E162" i="71"/>
  <c r="D161" i="71"/>
  <c r="K161" i="71" s="1"/>
  <c r="D160" i="71"/>
  <c r="K160" i="71" s="1"/>
  <c r="D159" i="71"/>
  <c r="K159" i="71" s="1"/>
  <c r="E158" i="71"/>
  <c r="K158" i="71" s="1"/>
  <c r="E157" i="71"/>
  <c r="K157" i="71" s="1"/>
  <c r="E150" i="71"/>
  <c r="E146" i="71"/>
  <c r="D143" i="71"/>
  <c r="C145" i="71"/>
  <c r="K145" i="71" s="1"/>
  <c r="C144" i="71"/>
  <c r="C142" i="71"/>
  <c r="C141" i="71"/>
  <c r="F140" i="71"/>
  <c r="E140" i="71"/>
  <c r="D140" i="71"/>
  <c r="E139" i="71"/>
  <c r="F138" i="71"/>
  <c r="F136" i="71"/>
  <c r="D136" i="71"/>
  <c r="E136" i="71"/>
  <c r="E135" i="71"/>
  <c r="F134" i="71"/>
  <c r="E130" i="71"/>
  <c r="F130" i="71"/>
  <c r="C129" i="71"/>
  <c r="C128" i="71"/>
  <c r="E127" i="71"/>
  <c r="E126" i="71"/>
  <c r="C122" i="71"/>
  <c r="K122" i="71" s="1"/>
  <c r="E114" i="71"/>
  <c r="K114" i="71" s="1"/>
  <c r="C115" i="71"/>
  <c r="C113" i="71"/>
  <c r="E112" i="71"/>
  <c r="E111" i="71"/>
  <c r="E110" i="71"/>
  <c r="C103" i="71"/>
  <c r="C102" i="71"/>
  <c r="E101" i="71"/>
  <c r="E100" i="71"/>
  <c r="E99" i="71"/>
  <c r="C89" i="71"/>
  <c r="E88" i="71"/>
  <c r="K88" i="71" s="1"/>
  <c r="C87" i="71"/>
  <c r="E86" i="71"/>
  <c r="E85" i="71"/>
  <c r="E84" i="71"/>
  <c r="E83" i="71"/>
  <c r="E82" i="71"/>
  <c r="C75" i="71"/>
  <c r="E74" i="71"/>
  <c r="K74" i="71" s="1"/>
  <c r="C73" i="71"/>
  <c r="E72" i="71"/>
  <c r="E71" i="71"/>
  <c r="E70" i="71"/>
  <c r="E66" i="71"/>
  <c r="L66" i="71" s="1"/>
  <c r="E60" i="71"/>
  <c r="C54" i="71"/>
  <c r="D51" i="71"/>
  <c r="C50" i="71"/>
  <c r="C49" i="71"/>
  <c r="C47" i="71"/>
  <c r="E48" i="71"/>
  <c r="K48" i="71" s="1"/>
  <c r="E46" i="71"/>
  <c r="D42" i="71"/>
  <c r="C41" i="71"/>
  <c r="F40" i="71"/>
  <c r="E40" i="71"/>
  <c r="D40" i="71"/>
  <c r="E39" i="71"/>
  <c r="E31" i="71"/>
  <c r="E30" i="71"/>
  <c r="F23" i="71"/>
  <c r="L23" i="71" s="1"/>
  <c r="D25" i="71"/>
  <c r="L25" i="71" s="1"/>
  <c r="C27" i="71"/>
  <c r="L27" i="71" s="1"/>
  <c r="C26" i="71"/>
  <c r="L26" i="71" s="1"/>
  <c r="E24" i="71"/>
  <c r="L24" i="71" s="1"/>
  <c r="C14" i="71"/>
  <c r="K14" i="71" s="1"/>
  <c r="C12" i="71"/>
  <c r="K12" i="71" s="1"/>
  <c r="C11" i="71"/>
  <c r="K11" i="71" s="1"/>
  <c r="J24" i="71" l="1"/>
  <c r="L11" i="71"/>
  <c r="L34" i="71"/>
  <c r="L40" i="71"/>
  <c r="L41" i="71"/>
  <c r="K42" i="71"/>
  <c r="L42" i="71"/>
  <c r="L46" i="71"/>
  <c r="L49" i="71"/>
  <c r="L50" i="71"/>
  <c r="L54" i="71"/>
  <c r="L65" i="71"/>
  <c r="K69" i="71"/>
  <c r="L69" i="71"/>
  <c r="K70" i="71"/>
  <c r="L70" i="71"/>
  <c r="K71" i="71"/>
  <c r="L71" i="71"/>
  <c r="K72" i="71"/>
  <c r="L72" i="71"/>
  <c r="K73" i="71"/>
  <c r="L73" i="71"/>
  <c r="L74" i="71"/>
  <c r="K75" i="71"/>
  <c r="L75" i="71"/>
  <c r="L78" i="71"/>
  <c r="K81" i="71"/>
  <c r="L81" i="71"/>
  <c r="K82" i="71"/>
  <c r="L82" i="71"/>
  <c r="K83" i="71"/>
  <c r="L83" i="71"/>
  <c r="K84" i="71"/>
  <c r="L84" i="71"/>
  <c r="K85" i="71"/>
  <c r="L85" i="71"/>
  <c r="K86" i="71"/>
  <c r="L86" i="71"/>
  <c r="K87" i="71"/>
  <c r="L87" i="71"/>
  <c r="L88" i="71"/>
  <c r="K89" i="71"/>
  <c r="L89" i="71"/>
  <c r="L92" i="71"/>
  <c r="L95" i="71"/>
  <c r="K98" i="71"/>
  <c r="L98" i="71"/>
  <c r="K99" i="71"/>
  <c r="L99" i="71"/>
  <c r="K100" i="71"/>
  <c r="L100" i="71"/>
  <c r="K101" i="71"/>
  <c r="L101" i="71"/>
  <c r="K102" i="71"/>
  <c r="L102" i="71"/>
  <c r="K103" i="71"/>
  <c r="L103" i="71"/>
  <c r="L106" i="71"/>
  <c r="K109" i="71"/>
  <c r="L109" i="71"/>
  <c r="K110" i="71"/>
  <c r="L110" i="71"/>
  <c r="K111" i="71"/>
  <c r="L111" i="71"/>
  <c r="K112" i="71"/>
  <c r="L112" i="71"/>
  <c r="K113" i="71"/>
  <c r="L113" i="71"/>
  <c r="L114" i="71"/>
  <c r="K115" i="71"/>
  <c r="L115" i="71"/>
  <c r="L118" i="71"/>
  <c r="L121" i="71"/>
  <c r="L122" i="71"/>
  <c r="L126" i="71"/>
  <c r="K127" i="71"/>
  <c r="L127" i="71"/>
  <c r="L128" i="71"/>
  <c r="L129" i="71"/>
  <c r="K130" i="71"/>
  <c r="L130" i="71"/>
  <c r="L134" i="71"/>
  <c r="K135" i="71"/>
  <c r="L135" i="71"/>
  <c r="L136" i="71"/>
  <c r="L138" i="71"/>
  <c r="K139" i="71"/>
  <c r="L139" i="71"/>
  <c r="L140" i="71"/>
  <c r="L141" i="71"/>
  <c r="L142" i="71"/>
  <c r="K143" i="71"/>
  <c r="L143" i="71"/>
  <c r="L144" i="71"/>
  <c r="L145" i="71"/>
  <c r="L146" i="71"/>
  <c r="L149" i="71"/>
  <c r="L150" i="71"/>
  <c r="L153" i="71"/>
  <c r="K156" i="71"/>
  <c r="L156" i="71"/>
  <c r="J157" i="71"/>
  <c r="L157" i="71"/>
  <c r="J158" i="71"/>
  <c r="L158" i="71"/>
  <c r="L159" i="71"/>
  <c r="L160" i="71"/>
  <c r="L161" i="71"/>
  <c r="J162" i="71"/>
  <c r="L162" i="71"/>
  <c r="J163" i="71"/>
  <c r="L163" i="71"/>
  <c r="J164" i="71"/>
  <c r="L164" i="71"/>
  <c r="J165" i="71"/>
  <c r="L165" i="71"/>
  <c r="J166" i="71"/>
  <c r="L166" i="71"/>
  <c r="K167" i="71"/>
  <c r="L167" i="71"/>
  <c r="L168" i="71"/>
  <c r="L169" i="71"/>
  <c r="L170" i="71"/>
  <c r="K171" i="71"/>
  <c r="L171" i="71"/>
  <c r="L172" i="71"/>
  <c r="L173" i="71"/>
  <c r="L174" i="71"/>
  <c r="K175" i="71"/>
  <c r="L175" i="71"/>
  <c r="L176" i="71"/>
  <c r="L177" i="71"/>
  <c r="L178" i="71"/>
  <c r="J180" i="71"/>
  <c r="L180" i="71"/>
  <c r="J181" i="71"/>
  <c r="L181" i="71"/>
  <c r="K182" i="71"/>
  <c r="L182" i="71"/>
  <c r="K183" i="71"/>
  <c r="L183" i="71"/>
  <c r="K184" i="71"/>
  <c r="L184" i="71"/>
  <c r="K185" i="71"/>
  <c r="L185" i="71"/>
  <c r="K187" i="71"/>
  <c r="L187" i="71"/>
  <c r="K188" i="71"/>
  <c r="L188" i="71"/>
  <c r="L189" i="71"/>
  <c r="L190" i="71"/>
  <c r="K191" i="71"/>
  <c r="L191" i="71"/>
  <c r="L193" i="71"/>
  <c r="K194" i="71"/>
  <c r="L194" i="71"/>
  <c r="K195" i="71"/>
  <c r="L195" i="71"/>
  <c r="L197" i="71"/>
  <c r="J198" i="71"/>
  <c r="K198" i="71"/>
  <c r="L198" i="71"/>
  <c r="J199" i="71"/>
  <c r="L199" i="71"/>
  <c r="K200" i="71"/>
  <c r="L200" i="71"/>
  <c r="K201" i="71"/>
  <c r="L201" i="71"/>
  <c r="J202" i="71"/>
  <c r="K202" i="71"/>
  <c r="L202" i="71"/>
  <c r="J204" i="71"/>
  <c r="K204" i="71"/>
  <c r="L204" i="71"/>
  <c r="J205" i="71"/>
  <c r="L205" i="71"/>
  <c r="J206" i="71"/>
  <c r="K206" i="71"/>
  <c r="L206" i="71"/>
  <c r="L207" i="71"/>
  <c r="K208" i="71"/>
  <c r="L208" i="71"/>
  <c r="K209" i="71"/>
  <c r="L209" i="71"/>
  <c r="L210" i="71"/>
  <c r="L211" i="71"/>
  <c r="L212" i="71"/>
  <c r="J213" i="71"/>
  <c r="L213" i="71"/>
  <c r="L214" i="71"/>
  <c r="L215" i="71"/>
  <c r="L216" i="71"/>
  <c r="L217" i="71"/>
  <c r="L218" i="71"/>
  <c r="J219" i="71"/>
  <c r="L219" i="71"/>
  <c r="L220" i="71"/>
  <c r="L221" i="71"/>
  <c r="L222" i="71"/>
  <c r="L223" i="71"/>
  <c r="L224" i="71"/>
  <c r="L225" i="71"/>
  <c r="J227" i="71"/>
  <c r="K227" i="71"/>
  <c r="L227" i="71"/>
  <c r="L228" i="71"/>
  <c r="J229" i="71"/>
  <c r="K229" i="71"/>
  <c r="L229" i="71"/>
  <c r="J230" i="71"/>
  <c r="K230" i="71"/>
  <c r="L230" i="71"/>
  <c r="L231" i="71"/>
  <c r="J233" i="71"/>
  <c r="K233" i="71"/>
  <c r="L233" i="71"/>
  <c r="J234" i="71"/>
  <c r="K234" i="71"/>
  <c r="L234" i="71"/>
  <c r="J235" i="71"/>
  <c r="L235" i="71"/>
  <c r="L238" i="71"/>
  <c r="L239" i="71"/>
  <c r="L240" i="71"/>
  <c r="K243" i="71"/>
  <c r="L243" i="71"/>
  <c r="L246" i="71"/>
  <c r="L247" i="71"/>
  <c r="L248" i="71"/>
  <c r="L249" i="71"/>
  <c r="L250" i="71"/>
  <c r="L251" i="71"/>
  <c r="L252" i="71"/>
  <c r="L254" i="71"/>
  <c r="J257" i="71"/>
  <c r="L257" i="71"/>
  <c r="J258" i="71"/>
  <c r="L258" i="71"/>
  <c r="J259" i="71"/>
  <c r="L259" i="71"/>
  <c r="L260" i="71"/>
  <c r="L261" i="71"/>
  <c r="L264" i="71"/>
  <c r="J265" i="71"/>
  <c r="K265" i="71"/>
  <c r="L265" i="71"/>
  <c r="K266" i="71"/>
  <c r="L266" i="71"/>
  <c r="L267" i="71"/>
  <c r="L270" i="71"/>
  <c r="J271" i="71"/>
  <c r="K271" i="71"/>
  <c r="L271" i="71"/>
  <c r="K272" i="71"/>
  <c r="L272" i="71"/>
  <c r="L273" i="71"/>
  <c r="L276" i="71"/>
  <c r="J277" i="71"/>
  <c r="K277" i="71"/>
  <c r="L277" i="71"/>
  <c r="L278" i="71"/>
  <c r="L279" i="71"/>
  <c r="K280" i="71"/>
  <c r="L280" i="71"/>
  <c r="K281" i="71"/>
  <c r="L281" i="71"/>
  <c r="K282" i="71"/>
  <c r="L282" i="71"/>
  <c r="K283" i="71"/>
  <c r="L283" i="71"/>
  <c r="J284" i="71"/>
  <c r="L284" i="71"/>
  <c r="L60" i="71"/>
  <c r="F286" i="71" l="1"/>
  <c r="E286" i="71"/>
  <c r="D286" i="71"/>
  <c r="K294" i="71" l="1"/>
  <c r="C297" i="71" s="1"/>
  <c r="J14" i="71"/>
  <c r="J287" i="71" l="1"/>
  <c r="C295" i="71" s="1"/>
  <c r="K51" i="71"/>
  <c r="K39" i="71"/>
  <c r="K47" i="71"/>
  <c r="K285" i="71"/>
  <c r="L30" i="71"/>
  <c r="L31" i="71"/>
  <c r="L12" i="71"/>
  <c r="L13" i="71"/>
  <c r="L14" i="71"/>
  <c r="L38" i="71"/>
  <c r="L39" i="71"/>
  <c r="L47" i="71"/>
  <c r="L48" i="71"/>
  <c r="L51" i="71"/>
  <c r="L53" i="71"/>
  <c r="L64" i="71"/>
  <c r="L285" i="71"/>
  <c r="K287" i="71" l="1"/>
  <c r="K288" i="71" l="1"/>
  <c r="C296" i="71" s="1"/>
  <c r="L10" i="71"/>
  <c r="C286" i="71"/>
  <c r="G286" i="71" s="1"/>
  <c r="C298" i="71" s="1"/>
  <c r="C301" i="71" l="1"/>
  <c r="L287" i="71"/>
</calcChain>
</file>

<file path=xl/sharedStrings.xml><?xml version="1.0" encoding="utf-8"?>
<sst xmlns="http://schemas.openxmlformats.org/spreadsheetml/2006/main" count="527" uniqueCount="312">
  <si>
    <t>RAK TW 1000B</t>
  </si>
  <si>
    <t>PL-511-4-V</t>
  </si>
  <si>
    <t>Description</t>
  </si>
  <si>
    <t>AI</t>
  </si>
  <si>
    <t>AO</t>
  </si>
  <si>
    <t>DI</t>
  </si>
  <si>
    <t>TDR 1201</t>
  </si>
  <si>
    <t>Pressure Sensor</t>
  </si>
  <si>
    <t>GS-CDE-D</t>
  </si>
  <si>
    <t>DOL</t>
  </si>
  <si>
    <t>MCB</t>
  </si>
  <si>
    <t>Immersion Temperature Sensor</t>
  </si>
  <si>
    <t>Space Temperature Sensor</t>
  </si>
  <si>
    <t>AX-RHT-D3</t>
  </si>
  <si>
    <t>GS-SD2000-N/SD-STN10</t>
  </si>
  <si>
    <t>VKF46.100/SQL85/ASK35.2</t>
  </si>
  <si>
    <t>DPT2500-R8</t>
  </si>
  <si>
    <t>MCC</t>
  </si>
  <si>
    <t>Volt Free Contacts</t>
  </si>
  <si>
    <t>AV-DSP</t>
  </si>
  <si>
    <t>DO</t>
  </si>
  <si>
    <t>Part No.</t>
  </si>
  <si>
    <t>FS 541</t>
  </si>
  <si>
    <t>LL13 (3M Cable)</t>
  </si>
  <si>
    <t>NACA1 - 16s</t>
  </si>
  <si>
    <t>RAK XX / FK-TZ1</t>
  </si>
  <si>
    <t>RIBXKTF</t>
  </si>
  <si>
    <t>TI/Brass Pocket</t>
  </si>
  <si>
    <t>Dist. Board</t>
  </si>
  <si>
    <t>Boiler Control Signal</t>
  </si>
  <si>
    <t>LPHW Pressurisation Unit</t>
  </si>
  <si>
    <t>Outside Frost Thermostat</t>
  </si>
  <si>
    <t>Outside Temperature Sensor</t>
  </si>
  <si>
    <t>Flow Immersion Temperature Sensor</t>
  </si>
  <si>
    <t>Return Immersion Temperature Sensor</t>
  </si>
  <si>
    <t>Static Pressure Transmitter</t>
  </si>
  <si>
    <t>3 Port Control Valve / Actuator</t>
  </si>
  <si>
    <t>Calorifier Immersion Temperature Sensor</t>
  </si>
  <si>
    <t>High Limit Thermostat (60-95 Man. Reset)</t>
  </si>
  <si>
    <t>LPHW Circuit - HWSr</t>
  </si>
  <si>
    <t>Pump Enable</t>
  </si>
  <si>
    <t>Pump Status - Current Switch</t>
  </si>
  <si>
    <t>Gas Detection Panel</t>
  </si>
  <si>
    <t>Gas Leak Alarm Unit Status</t>
  </si>
  <si>
    <t>Storage Tank - Cold Water</t>
  </si>
  <si>
    <t xml:space="preserve">Booster Unit - Cold Water </t>
  </si>
  <si>
    <t>Storage Tank - Mains Water</t>
  </si>
  <si>
    <t xml:space="preserve">Booster Unit - Mains Water </t>
  </si>
  <si>
    <t>Chiller Flow Switch</t>
  </si>
  <si>
    <t>Chiller Flow Immersion Temperature Sensor</t>
  </si>
  <si>
    <t>Chiller Return Immersion Temperature Sensor</t>
  </si>
  <si>
    <t>CHW Pressurisation Unit</t>
  </si>
  <si>
    <t>Intake Air Damper Actuator (Enabled with SAF)</t>
  </si>
  <si>
    <t>Panel Filter Pressure Switch</t>
  </si>
  <si>
    <t>Bag Filter Pressure Switch</t>
  </si>
  <si>
    <t>Manual Reset Duct Frost Stat</t>
  </si>
  <si>
    <t>Heating Coil Control Valve</t>
  </si>
  <si>
    <t>Heating Coil Off Coil Temperature Sensor</t>
  </si>
  <si>
    <t>Cooling Coil Control Valve</t>
  </si>
  <si>
    <t>Cooling Coil Off Coil Temperature Sensor</t>
  </si>
  <si>
    <t>Supply Air Temperature Sensor</t>
  </si>
  <si>
    <t>Supply Air Pressure Sensor</t>
  </si>
  <si>
    <t>Enable</t>
  </si>
  <si>
    <t>Airflow Switch</t>
  </si>
  <si>
    <t>Reheat Battery Control Valve</t>
  </si>
  <si>
    <t>Metering</t>
  </si>
  <si>
    <t>Device By Others</t>
  </si>
  <si>
    <t>Valve 40mm</t>
  </si>
  <si>
    <t>Heat Meter</t>
  </si>
  <si>
    <t>Energy Meter 65mm</t>
  </si>
  <si>
    <t>Differential Pressure Switch</t>
  </si>
  <si>
    <t>FD 113</t>
  </si>
  <si>
    <t>MWS Tank Section 1 Low Level Status</t>
  </si>
  <si>
    <t>MWS Tank Section 1 High Level Status</t>
  </si>
  <si>
    <t>MWS Tank Section 2 Low Level Status</t>
  </si>
  <si>
    <t>MWS Tank Section 2 High Level Status</t>
  </si>
  <si>
    <t>MWS Tank Immersion Temperature Sensor</t>
  </si>
  <si>
    <t>Ultrasonic Level Transmitter</t>
  </si>
  <si>
    <t>LS-MC</t>
  </si>
  <si>
    <t>Mains Water Booster Unit Common Fault</t>
  </si>
  <si>
    <t>CWS Tank Section 1 Low Level Status</t>
  </si>
  <si>
    <t>CWS Tank Section 1 High Level Status</t>
  </si>
  <si>
    <t>CWS Tank Section 2 Low Level Status</t>
  </si>
  <si>
    <t>CWS Tank Section 2 High Level Status</t>
  </si>
  <si>
    <t>CWS Tank Immersion Temperature Sensor</t>
  </si>
  <si>
    <t>Cold Water Booster Unit Common Fault</t>
  </si>
  <si>
    <t xml:space="preserve">Booster Unit - Hot &amp; Cold Water </t>
  </si>
  <si>
    <t>Hot &amp; Cold Water Booster Unit Common Fault</t>
  </si>
  <si>
    <t>Storage Tank - Fire Hose Reel</t>
  </si>
  <si>
    <t>FHR Tank Section 1 Low Level Status</t>
  </si>
  <si>
    <t>FHR Tank Section 1 High Level Status</t>
  </si>
  <si>
    <t>FHR Tank Section 2 Low Level Status</t>
  </si>
  <si>
    <t>FHR Tank Section 2 High Level Status</t>
  </si>
  <si>
    <t>FHR Tank Immersion Temperature Sensor</t>
  </si>
  <si>
    <t xml:space="preserve">Booster Unit - Fire Hose Reel </t>
  </si>
  <si>
    <t>Fire Hose Reel Booster Unit Common Fault</t>
  </si>
  <si>
    <t>Storage Tank - Rain Water</t>
  </si>
  <si>
    <t>RWS Tank Section 1 Low Level Status</t>
  </si>
  <si>
    <t>RWS Tank Section 1 High Level Status</t>
  </si>
  <si>
    <t>RWS Tank Section 2 Low Level Status</t>
  </si>
  <si>
    <t>RWS Tank Section 2 High Level Status</t>
  </si>
  <si>
    <t>RWS Tank Immersion Temperature Sensor</t>
  </si>
  <si>
    <t xml:space="preserve">Booster Unit - Rain Water </t>
  </si>
  <si>
    <t>Rain Water Booster Unit Common Fault</t>
  </si>
  <si>
    <t>Rain Water Harvesting</t>
  </si>
  <si>
    <t>Rain Water Harvesting Set Status</t>
  </si>
  <si>
    <t>Chiller  Isolation Valve 100mm</t>
  </si>
  <si>
    <t>Chilled Water Buffer Tank</t>
  </si>
  <si>
    <t>Airflow Volume</t>
  </si>
  <si>
    <t>PA500 / AV-EP300</t>
  </si>
  <si>
    <t>Extract Air Damper Actuator (Enabled with EAF)</t>
  </si>
  <si>
    <t>Intake Air Damper Actuator</t>
  </si>
  <si>
    <t>NACM1-1-16S</t>
  </si>
  <si>
    <t>Mixing Damper Actuator</t>
  </si>
  <si>
    <t>Extract Air Damper Actuator</t>
  </si>
  <si>
    <t>Panel Filter Pressure Sensor</t>
  </si>
  <si>
    <t>Bag Filter Pressure Sensor</t>
  </si>
  <si>
    <t>Pre Heat Coil Control Valve</t>
  </si>
  <si>
    <t>Pre Heat Coil Off Coil Temperature Sensor</t>
  </si>
  <si>
    <t>DX Condensor Unit Fault</t>
  </si>
  <si>
    <t>Heating Recovery Control Valve</t>
  </si>
  <si>
    <t>Heat Recovery Coil Off Coil Temperature Sensor</t>
  </si>
  <si>
    <t>Heat Recovery Wheel Off Coil Temperature Sensor</t>
  </si>
  <si>
    <t>Heat Recovery Wheel Filter Pressure Switch</t>
  </si>
  <si>
    <t>Electric Heating Controller Control</t>
  </si>
  <si>
    <t>Thyristor (1 Phase 3.5kW) ACL1/3.5</t>
  </si>
  <si>
    <t>Electric Heating Off Coil Temperature Sensor</t>
  </si>
  <si>
    <t>AHU Supply Coil On Coil Temperature Sensor</t>
  </si>
  <si>
    <t>Heat Exchanger Face/Bypass Damper</t>
  </si>
  <si>
    <t>Humidifier Panel Filter Pressure Switch</t>
  </si>
  <si>
    <t>Plant Steam: Steam Control Valve</t>
  </si>
  <si>
    <t>Supply Air Temperature / Humidity Sensor</t>
  </si>
  <si>
    <t>Supply Air Velocity Sensor</t>
  </si>
  <si>
    <t>Supply Duct CO2 Sensor</t>
  </si>
  <si>
    <t>Supply Duct Smoke Detector</t>
  </si>
  <si>
    <t>Extract Air Temperature Sensor</t>
  </si>
  <si>
    <t>Extract Air Temperature / Humidity Sensor</t>
  </si>
  <si>
    <t>Extract Air Pressure Sensor</t>
  </si>
  <si>
    <t>Extract Air Velocity Sensor</t>
  </si>
  <si>
    <t>Extract Duct CO2 Sensor</t>
  </si>
  <si>
    <t>Extract Duct Smoke Detector</t>
  </si>
  <si>
    <t>Space Temperature Sensor No.1</t>
  </si>
  <si>
    <t>Space Temperature Sensor No.2</t>
  </si>
  <si>
    <t>Space Temperature and Humidity Sensor No.1</t>
  </si>
  <si>
    <t>AX-RHT3-S3</t>
  </si>
  <si>
    <t>Space Temperature and Humidity Sensor No.2</t>
  </si>
  <si>
    <t>Hepa Filter Pressure Switch</t>
  </si>
  <si>
    <t>HEPA</t>
  </si>
  <si>
    <t>Valve 25mm</t>
  </si>
  <si>
    <t>Natural Ventilation</t>
  </si>
  <si>
    <t>Window Actuator Enable</t>
  </si>
  <si>
    <t>Window Actuator Status</t>
  </si>
  <si>
    <t>Main Water Meter - Pulsed Input</t>
  </si>
  <si>
    <t>Main Gas Meter - Pulsed Input</t>
  </si>
  <si>
    <t>Main Electricity Meter - Pulsed Input</t>
  </si>
  <si>
    <t>Fire Alarm Interface Hardwired</t>
  </si>
  <si>
    <t>Generator Alarms</t>
  </si>
  <si>
    <t>Generator Common Fault</t>
  </si>
  <si>
    <t xml:space="preserve">Unit Heater Enable </t>
  </si>
  <si>
    <t>Unit Heater  Status</t>
  </si>
  <si>
    <t>Unit Heater 3 Port Control Valve / Actuator</t>
  </si>
  <si>
    <t>Valve 15mm</t>
  </si>
  <si>
    <t xml:space="preserve">Air Curtain Enable </t>
  </si>
  <si>
    <t>Air Curtain  Status</t>
  </si>
  <si>
    <t>Air Curtain 3 Port Control Valve / Actuator</t>
  </si>
  <si>
    <t>Solenoid Valve 40mm</t>
  </si>
  <si>
    <t>Immersion Heater Enable</t>
  </si>
  <si>
    <t>Dosing Unit</t>
  </si>
  <si>
    <t>Dosing Unit Fault</t>
  </si>
  <si>
    <t>Generator Run Alarm</t>
  </si>
  <si>
    <t>Generator Diesel Tank High Level</t>
  </si>
  <si>
    <t>Generator Diesel Tank Low Level</t>
  </si>
  <si>
    <t>Generator</t>
  </si>
  <si>
    <t>CWS Tank Low Low Level Status</t>
  </si>
  <si>
    <t>CWS Tank High High Level Status</t>
  </si>
  <si>
    <t>CHW Pressurisation Unit Fault</t>
  </si>
  <si>
    <t>Duct Humidistat</t>
  </si>
  <si>
    <t>H1-HF</t>
  </si>
  <si>
    <t>Duct Thermostat</t>
  </si>
  <si>
    <t>3 Port Control Valve / Actuator 1</t>
  </si>
  <si>
    <t>Emergency Push Button / Shut Off</t>
  </si>
  <si>
    <t>Common LPHW Devices</t>
  </si>
  <si>
    <t>Immersion Frost Thermostat</t>
  </si>
  <si>
    <t>Enable and Current Switch</t>
  </si>
  <si>
    <t>Enable, Control and Common Fault</t>
  </si>
  <si>
    <t>Calorifier Mains 1.0kW</t>
  </si>
  <si>
    <t>Calorifier Enable and Fault</t>
  </si>
  <si>
    <t>Gas Detection Panel Mains 1.0kW</t>
  </si>
  <si>
    <t>Chiller Mains</t>
  </si>
  <si>
    <t>Chiller Enable and Status</t>
  </si>
  <si>
    <t>Chiller  Isolation Valve Enable and Status</t>
  </si>
  <si>
    <t>CHW Pressurisation Unit High &amp; Low Pressure</t>
  </si>
  <si>
    <t>30kW</t>
  </si>
  <si>
    <t>AHU DX Condensor Unit Enable Stage 1</t>
  </si>
  <si>
    <t>AHU DX Condensor Unit Enable Stage 2</t>
  </si>
  <si>
    <t>VSD Mains</t>
  </si>
  <si>
    <t>Extract Fan - XXXXXXXX Extract Fan EF-??</t>
  </si>
  <si>
    <t>Under Floor Heating Pump</t>
  </si>
  <si>
    <t>AC Units</t>
  </si>
  <si>
    <t>LPHW HWSr Pump Mains 4kW</t>
  </si>
  <si>
    <t>Pump A Current Switch</t>
  </si>
  <si>
    <t>Boiler Flow Immersion Temperature Sensor</t>
  </si>
  <si>
    <t>Boiler Return Immersion Temperature Sensor</t>
  </si>
  <si>
    <t>AHU Gas Burner</t>
  </si>
  <si>
    <t>AHU DX Condensor Unit</t>
  </si>
  <si>
    <t>AHU Heat Recovery Pump</t>
  </si>
  <si>
    <t xml:space="preserve">AHU Heat Recovery Wheel </t>
  </si>
  <si>
    <t xml:space="preserve">AHU Electric Heater Battery </t>
  </si>
  <si>
    <t>AHU Humidifier</t>
  </si>
  <si>
    <t>AHU Supply Fan</t>
  </si>
  <si>
    <t>AHU Extract Fan</t>
  </si>
  <si>
    <t>LPHW Header Flow Immersion Temperature Sensor</t>
  </si>
  <si>
    <t>LPHW Header Return Immersion Temperature Sensor</t>
  </si>
  <si>
    <t>Pre Heat Coil Flow Immersion Temperature Sensor</t>
  </si>
  <si>
    <t>Pre Heat Coil Return Immersion Temperature Sensor</t>
  </si>
  <si>
    <t>Heating Coil Flow Immersion Temperature Sensor</t>
  </si>
  <si>
    <t>Heating Coil Return Immersion Temperature Sensor</t>
  </si>
  <si>
    <t>Cooling Coil Flow Immersion Temperature Sensor</t>
  </si>
  <si>
    <t>Cooling Coil Return Immersion Temperature Sensor</t>
  </si>
  <si>
    <t>Heat Recovery Coil Flow Immersion Temperature Sensor</t>
  </si>
  <si>
    <t>Heat Recovery Coil Return Immersion Temperature Sensor</t>
  </si>
  <si>
    <t>Variable Speed Drive</t>
  </si>
  <si>
    <t>Primary CHW Pump A</t>
  </si>
  <si>
    <t>Primary CHW Pump B</t>
  </si>
  <si>
    <t>Space Temperature Sensor (SP Adjust) No.1</t>
  </si>
  <si>
    <t>Space Temperature Sensor (SP Adjust) No.2</t>
  </si>
  <si>
    <t>Boiler Common Fault</t>
  </si>
  <si>
    <t>Boiler Enable</t>
  </si>
  <si>
    <t>0…10V dc</t>
  </si>
  <si>
    <t>LPHW Pressurisation Unit High Pressure</t>
  </si>
  <si>
    <t>LPHW Pressurisation Unit Low Pressure</t>
  </si>
  <si>
    <t>Costs</t>
  </si>
  <si>
    <t>VSD ??kW</t>
  </si>
  <si>
    <t>Check</t>
  </si>
  <si>
    <t>(*)</t>
  </si>
  <si>
    <t xml:space="preserve">Gas Slamshut Valve Status </t>
  </si>
  <si>
    <t>By Others</t>
  </si>
  <si>
    <t>Solenoid Valve 40mm / ZS50</t>
  </si>
  <si>
    <t>By others</t>
  </si>
  <si>
    <t>Check Price</t>
  </si>
  <si>
    <t>Space CO2 + Temperature Sensor</t>
  </si>
  <si>
    <t>AC Unit No Common Fault</t>
  </si>
  <si>
    <t>Re Heat Battery</t>
  </si>
  <si>
    <t>BMS Requirements</t>
  </si>
  <si>
    <t>Quantity</t>
  </si>
  <si>
    <t>OMNI C40D</t>
  </si>
  <si>
    <t>Cost/Controller</t>
  </si>
  <si>
    <t>Summary</t>
  </si>
  <si>
    <t>BMS Ctlr</t>
  </si>
  <si>
    <t>Field Devices</t>
  </si>
  <si>
    <t>Total</t>
  </si>
  <si>
    <t>BMS Controllers</t>
  </si>
  <si>
    <t>Commissioning/Engineering</t>
  </si>
  <si>
    <t>Total:</t>
  </si>
  <si>
    <t>Remote Internet access available on controller - Internet access to be provided by others</t>
  </si>
  <si>
    <t>VAT.</t>
  </si>
  <si>
    <t>Retention.</t>
  </si>
  <si>
    <t>Offloading of panels and devices.</t>
  </si>
  <si>
    <t>Mounting of panels and devices.</t>
  </si>
  <si>
    <t>Termination of field devices.</t>
  </si>
  <si>
    <t>Notes:</t>
  </si>
  <si>
    <t>Our Quotation is valid for 90 days from the date of this proposal.</t>
  </si>
  <si>
    <t>All work has been costed for completion during normal working hours, Mon – Fri (8am – 5pm) excluding bank holidays.</t>
  </si>
  <si>
    <t>Price includes for delivery of equipment to your site, handover documentation and 1 years warranty.</t>
  </si>
  <si>
    <t>3 years warranty is available if a maintenance contract is taking out for the 3 year period.</t>
  </si>
  <si>
    <t>Field Wiring</t>
  </si>
  <si>
    <t>(Add 20%)</t>
  </si>
  <si>
    <t>Although some items may have been costed separately, it is assumed that all items will be carried out at the same time.</t>
  </si>
  <si>
    <t>Price Excludes:</t>
  </si>
  <si>
    <t>DBET-23U</t>
  </si>
  <si>
    <t>TB/TO</t>
  </si>
  <si>
    <t>DBTV-2U</t>
  </si>
  <si>
    <t>TCO2A</t>
  </si>
  <si>
    <t>DLF10 V G1/4</t>
  </si>
  <si>
    <t>TTI-S Brass Pocket</t>
  </si>
  <si>
    <t>TTI</t>
  </si>
  <si>
    <t>TTS</t>
  </si>
  <si>
    <t>TTS-SP</t>
  </si>
  <si>
    <t>Hot Water Generator  No.1</t>
  </si>
  <si>
    <t>Hot Water Generator Enable</t>
  </si>
  <si>
    <t>Hot Water Generator Common Fault</t>
  </si>
  <si>
    <t>Hot Water Generator Differential Press. Sensor</t>
  </si>
  <si>
    <t>Boiler</t>
  </si>
  <si>
    <t>Calorifier Immersion Heater</t>
  </si>
  <si>
    <t>Chiller</t>
  </si>
  <si>
    <t>AHU</t>
  </si>
  <si>
    <t>Unit Heater</t>
  </si>
  <si>
    <t>Air Curtain</t>
  </si>
  <si>
    <t>Calorifier</t>
  </si>
  <si>
    <t>CPS-DS/DUCT KIT</t>
  </si>
  <si>
    <t>Primary LPHW Pump</t>
  </si>
  <si>
    <t>iSMA Mix38</t>
  </si>
  <si>
    <t>10" Display</t>
  </si>
  <si>
    <t xml:space="preserve">Project: </t>
  </si>
  <si>
    <t>MCC Panel</t>
  </si>
  <si>
    <t>Graphics includes PC &amp; Licence</t>
  </si>
  <si>
    <t>Primary LPHW Single Pumps</t>
  </si>
  <si>
    <t>Status</t>
  </si>
  <si>
    <t>Intelligent Pumps</t>
  </si>
  <si>
    <t>Built in to Pump</t>
  </si>
  <si>
    <t>Price includes our Standard Risk Assessment and Method Statements - additional costs may be incurred for alternative RAMS</t>
  </si>
  <si>
    <t>Panel At 20%</t>
  </si>
  <si>
    <t>Parts At 0%</t>
  </si>
  <si>
    <t>Labour At 20%</t>
  </si>
  <si>
    <t xml:space="preserve">Date: </t>
  </si>
  <si>
    <t xml:space="preserve">Prepared By: </t>
  </si>
  <si>
    <t xml:space="preserve">Quote Ref: </t>
  </si>
  <si>
    <t xml:space="preserve">Revision: </t>
  </si>
  <si>
    <t xml:space="preserve">Customer: </t>
  </si>
  <si>
    <t>Panel Ref and IP rating</t>
  </si>
  <si>
    <t xml:space="preserve">Contact: </t>
  </si>
  <si>
    <t>&lt;5.5Kw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</si>
</sst>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#,##0.00;[Red]\-&quot;€&quot;#,##0.00"/>
    <numFmt numFmtId="44" formatCode="_-&quot;€&quot;* #,##0.00_-;\-&quot;€&quot;* #,##0.00_-;_-&quot;€&quot;* &quot;-&quot;??_-;_-@_-"/>
    <numFmt numFmtId="164" formatCode="0.0\ \k\W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theme="0"/>
      <name val="Arial"/>
      <family val="2"/>
    </font>
    <font>
      <b/>
      <i/>
      <sz val="9"/>
      <color theme="0"/>
      <name val="Arial"/>
      <family val="2"/>
    </font>
    <font>
      <b/>
      <sz val="9"/>
      <color theme="0"/>
      <name val="Arial"/>
      <family val="2"/>
    </font>
    <font>
      <sz val="1"/>
      <color theme="0"/>
      <name val="Small"/>
    </font>
    <font>
      <sz val="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0" fontId="2" fillId="0" borderId="0"/>
    <xf numFmtId="0" fontId="6" fillId="0" borderId="0"/>
    <xf numFmtId="0" fontId="1" fillId="0" borderId="0"/>
    <xf numFmtId="44" fontId="10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2" applyFont="1"/>
    <xf numFmtId="0" fontId="2" fillId="0" borderId="0" xfId="2"/>
    <xf numFmtId="0" fontId="2" fillId="0" borderId="0" xfId="0" applyFont="1" applyAlignment="1">
      <alignment vertical="center"/>
    </xf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2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2" applyFont="1" applyAlignment="1">
      <alignment horizontal="center"/>
    </xf>
    <xf numFmtId="44" fontId="7" fillId="0" borderId="0" xfId="5" applyFont="1" applyBorder="1"/>
    <xf numFmtId="44" fontId="11" fillId="0" borderId="0" xfId="5" applyFont="1" applyFill="1" applyBorder="1" applyAlignment="1">
      <alignment horizontal="center"/>
    </xf>
    <xf numFmtId="44" fontId="2" fillId="0" borderId="0" xfId="5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5" fillId="4" borderId="0" xfId="1" applyFont="1" applyFill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4" xfId="4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1" applyFont="1" applyAlignment="1">
      <alignment horizontal="center" vertical="center"/>
    </xf>
    <xf numFmtId="0" fontId="12" fillId="0" borderId="0" xfId="2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3" fillId="5" borderId="2" xfId="1" applyFont="1" applyFill="1" applyBorder="1" applyAlignment="1">
      <alignment horizontal="center" vertical="top"/>
    </xf>
    <xf numFmtId="0" fontId="13" fillId="5" borderId="5" xfId="1" applyFont="1" applyFill="1" applyBorder="1" applyAlignment="1">
      <alignment horizontal="center" vertical="top"/>
    </xf>
    <xf numFmtId="0" fontId="14" fillId="5" borderId="6" xfId="1" applyFont="1" applyFill="1" applyBorder="1" applyAlignment="1">
      <alignment horizontal="center" vertical="top"/>
    </xf>
    <xf numFmtId="0" fontId="13" fillId="5" borderId="7" xfId="1" applyFont="1" applyFill="1" applyBorder="1" applyAlignment="1">
      <alignment horizontal="center" vertical="top"/>
    </xf>
    <xf numFmtId="0" fontId="5" fillId="4" borderId="0" xfId="1" applyFont="1" applyFill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4" fontId="5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5" fillId="0" borderId="0" xfId="4" applyFont="1" applyAlignment="1">
      <alignment horizontal="center" vertical="center"/>
    </xf>
    <xf numFmtId="0" fontId="4" fillId="0" borderId="0" xfId="4" applyFont="1" applyAlignment="1">
      <alignment horizontal="left" vertical="center"/>
    </xf>
    <xf numFmtId="0" fontId="4" fillId="0" borderId="0" xfId="1" applyFont="1" applyAlignment="1">
      <alignment vertical="center"/>
    </xf>
    <xf numFmtId="0" fontId="5" fillId="0" borderId="0" xfId="4" applyFont="1" applyAlignment="1">
      <alignment horizontal="left" vertical="center"/>
    </xf>
    <xf numFmtId="0" fontId="5" fillId="2" borderId="0" xfId="1" applyFont="1" applyFill="1" applyAlignment="1" applyProtection="1">
      <alignment horizontal="center" vertical="center"/>
      <protection locked="0"/>
    </xf>
    <xf numFmtId="0" fontId="5" fillId="2" borderId="0" xfId="1" applyFont="1" applyFill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6" fillId="2" borderId="0" xfId="1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2" applyFont="1" applyAlignment="1">
      <alignment horizontal="center"/>
    </xf>
    <xf numFmtId="0" fontId="9" fillId="4" borderId="0" xfId="1" applyFont="1" applyFill="1" applyAlignment="1">
      <alignment horizontal="center"/>
    </xf>
    <xf numFmtId="0" fontId="5" fillId="4" borderId="0" xfId="1" applyFont="1" applyFill="1" applyAlignment="1">
      <alignment horizontal="left" vertical="center"/>
    </xf>
    <xf numFmtId="0" fontId="2" fillId="0" borderId="0" xfId="2" applyAlignment="1">
      <alignment horizontal="left"/>
    </xf>
    <xf numFmtId="8" fontId="7" fillId="0" borderId="0" xfId="0" applyNumberFormat="1" applyFont="1" applyAlignment="1">
      <alignment horizontal="center"/>
    </xf>
    <xf numFmtId="0" fontId="5" fillId="4" borderId="2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</cellXfs>
  <cellStyles count="6">
    <cellStyle name="Currency" xfId="5" builtinId="4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_Curaheen Hospital Points List Rev00" xfId="1" xr:uid="{00000000-0005-0000-0000-000005000000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top style="thin">
          <color indexed="64"/>
        </top>
      </border>
    </dxf>
    <dxf>
      <font>
        <i val="0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9" defaultPivotStyle="PivotStyleLight16"/>
  <colors>
    <mruColors>
      <color rgb="FF0A36F0"/>
      <color rgb="FFCCFFFF"/>
      <color rgb="FF320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34636</xdr:rowOff>
    </xdr:from>
    <xdr:to>
      <xdr:col>8</xdr:col>
      <xdr:colOff>1617704</xdr:colOff>
      <xdr:row>4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6045" y="34636"/>
          <a:ext cx="1141454" cy="8364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David/Dropbox/Quotes/Quotation%20Template%2010.06.14.xlsx" TargetMode="External"/><Relationship Id="rId1" Type="http://schemas.openxmlformats.org/officeDocument/2006/relationships/externalLinkPath" Target="/Users/David/Dropbox/Quotes/Quotation%20Template%2010.06.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Template_Pivot"/>
      <sheetName val="IO Template"/>
      <sheetName val="Points List"/>
      <sheetName val="Cost"/>
      <sheetName val="Points List_Pivot"/>
      <sheetName val="1.Devices"/>
      <sheetName val="2.Cylon"/>
      <sheetName val="3.MCC's"/>
      <sheetName val="4.PC &amp; Graphics"/>
      <sheetName val="5.E&amp;C"/>
      <sheetName val="6.Termination_Site Works_Instal"/>
      <sheetName val="7.Fees"/>
      <sheetName val="8.VSD"/>
      <sheetName val="Prices"/>
      <sheetName val="Pre Calc"/>
      <sheetName val="FCU"/>
      <sheetName val="Sour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C2">
            <v>0.83</v>
          </cell>
        </row>
        <row r="3">
          <cell r="C3">
            <v>0.4</v>
          </cell>
        </row>
        <row r="4">
          <cell r="C4">
            <v>0.57250000000000001</v>
          </cell>
        </row>
        <row r="5">
          <cell r="C5">
            <v>0</v>
          </cell>
        </row>
        <row r="6">
          <cell r="C6">
            <v>0.25</v>
          </cell>
        </row>
        <row r="9">
          <cell r="C9">
            <v>44</v>
          </cell>
        </row>
        <row r="10">
          <cell r="C10">
            <v>40</v>
          </cell>
        </row>
        <row r="11">
          <cell r="C11">
            <v>20</v>
          </cell>
        </row>
        <row r="12">
          <cell r="C12">
            <v>10.9</v>
          </cell>
        </row>
        <row r="13">
          <cell r="C13">
            <v>33.979999999999997</v>
          </cell>
        </row>
        <row r="14">
          <cell r="C14">
            <v>88.53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3184D0-246D-4C1D-8A20-DFA17E93A898}" name="Table2" displayName="Table2" ref="B6:I286" totalsRowShown="0" headerRowDxfId="10" dataDxfId="9" tableBorderDxfId="8" headerRowCellStyle="Normal_Curaheen Hospital Points List Rev00">
  <autoFilter ref="B6:I286" xr:uid="{C03184D0-246D-4C1D-8A20-DFA17E93A898}"/>
  <tableColumns count="8">
    <tableColumn id="1" xr3:uid="{D746F749-E057-4F33-BBBE-585AC8A29E27}" name="Description" dataDxfId="7" dataCellStyle="Normal 4"/>
    <tableColumn id="2" xr3:uid="{14EB8159-0ACE-49A0-9F2B-1FA348690D78}" name="AI" dataDxfId="6" dataCellStyle="Normal 4"/>
    <tableColumn id="3" xr3:uid="{94C76A7D-99EF-48DC-B1B7-6D2224ED6259}" name="AO" dataDxfId="5" dataCellStyle="Normal 4"/>
    <tableColumn id="4" xr3:uid="{C0615C20-0E67-4D57-B98A-034EFC05802C}" name="DI" dataDxfId="4" dataCellStyle="Normal 4"/>
    <tableColumn id="5" xr3:uid="{C256C6BF-D3D7-4FA9-9DB7-DDBAD93AF943}" name="DO" dataDxfId="3" dataCellStyle="Normal 4"/>
    <tableColumn id="6" xr3:uid="{236A7495-9051-4B02-ACC1-67160244904E}" name="MCC" dataDxfId="2"/>
    <tableColumn id="7" xr3:uid="{9782F93F-B7A7-4535-B158-20213ACC7933}" name="Quantity" dataDxfId="1"/>
    <tableColumn id="8" xr3:uid="{9C660B58-7E58-43C1-90CF-99E160299A79}" name="Part No." dataDxfId="0" dataCellStyle="Normal_Curaheen Hospital Points List Rev0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M319"/>
  <sheetViews>
    <sheetView tabSelected="1" view="pageBreakPreview" zoomScale="110" zoomScaleNormal="100" zoomScaleSheetLayoutView="110" workbookViewId="0">
      <pane ySplit="6" topLeftCell="A123" activePane="bottomLeft" state="frozen"/>
      <selection activeCell="F27" sqref="F27"/>
      <selection pane="bottomLeft" activeCell="M123" sqref="M123"/>
    </sheetView>
  </sheetViews>
  <sheetFormatPr defaultColWidth="9.109375" defaultRowHeight="16.5" customHeight="1" x14ac:dyDescent="0.25"/>
  <cols>
    <col min="1" max="1" width="9.109375" style="2"/>
    <col min="2" max="2" width="46.33203125" style="5" bestFit="1" customWidth="1"/>
    <col min="3" max="6" width="5.6640625" style="5" customWidth="1"/>
    <col min="7" max="7" width="9.33203125" style="6" customWidth="1"/>
    <col min="8" max="8" width="7.44140625" style="20" customWidth="1"/>
    <col min="9" max="9" width="24.5546875" style="5" customWidth="1"/>
    <col min="10" max="12" width="12.109375" style="10" bestFit="1" customWidth="1"/>
    <col min="13" max="16384" width="9.109375" style="2"/>
  </cols>
  <sheetData>
    <row r="1" spans="2:12" ht="17.399999999999999" x14ac:dyDescent="0.3">
      <c r="B1" s="51" t="s">
        <v>293</v>
      </c>
      <c r="C1" s="51"/>
      <c r="D1" s="51"/>
      <c r="E1" s="51"/>
      <c r="F1" s="51"/>
      <c r="G1" s="51"/>
      <c r="H1" s="51"/>
      <c r="I1" s="7"/>
      <c r="J1" s="18"/>
    </row>
    <row r="2" spans="2:12" ht="13.2" x14ac:dyDescent="0.25">
      <c r="B2" s="36" t="s">
        <v>306</v>
      </c>
      <c r="C2" s="52"/>
      <c r="D2" s="52"/>
      <c r="E2" s="52" t="s">
        <v>308</v>
      </c>
      <c r="F2" s="52"/>
      <c r="G2" s="52"/>
      <c r="H2" s="52"/>
      <c r="I2" s="52"/>
      <c r="J2" s="18"/>
    </row>
    <row r="3" spans="2:12" ht="13.2" x14ac:dyDescent="0.25">
      <c r="B3" s="36" t="s">
        <v>307</v>
      </c>
      <c r="C3" s="52"/>
      <c r="D3" s="52"/>
      <c r="E3" s="52" t="s">
        <v>310</v>
      </c>
      <c r="F3" s="52"/>
      <c r="G3" s="52"/>
      <c r="H3" s="52"/>
      <c r="I3" s="52"/>
      <c r="J3" s="18"/>
    </row>
    <row r="4" spans="2:12" ht="13.2" x14ac:dyDescent="0.25">
      <c r="B4" s="36" t="s">
        <v>304</v>
      </c>
      <c r="C4" s="36"/>
      <c r="D4" s="18"/>
      <c r="E4" s="18"/>
      <c r="F4" s="18"/>
      <c r="G4" s="18"/>
      <c r="H4" s="22"/>
      <c r="I4" s="18"/>
      <c r="J4" s="18"/>
    </row>
    <row r="5" spans="2:12" ht="13.5" customHeight="1" x14ac:dyDescent="0.25">
      <c r="B5" s="36" t="s">
        <v>305</v>
      </c>
      <c r="C5" s="36"/>
      <c r="D5" s="36"/>
      <c r="E5" s="18"/>
      <c r="F5" s="36"/>
      <c r="G5" s="18"/>
      <c r="H5" s="22"/>
      <c r="I5" s="8"/>
      <c r="J5" s="55" t="s">
        <v>231</v>
      </c>
      <c r="K5" s="56"/>
      <c r="L5" s="56"/>
    </row>
    <row r="6" spans="2:12" s="3" customFormat="1" ht="26.4" x14ac:dyDescent="0.25">
      <c r="B6" s="32" t="s">
        <v>2</v>
      </c>
      <c r="C6" s="33" t="s">
        <v>3</v>
      </c>
      <c r="D6" s="33" t="s">
        <v>4</v>
      </c>
      <c r="E6" s="33" t="s">
        <v>5</v>
      </c>
      <c r="F6" s="33" t="s">
        <v>20</v>
      </c>
      <c r="G6" s="33" t="s">
        <v>17</v>
      </c>
      <c r="H6" s="34" t="s">
        <v>244</v>
      </c>
      <c r="I6" s="35" t="s">
        <v>21</v>
      </c>
      <c r="J6" s="31" t="s">
        <v>301</v>
      </c>
      <c r="K6" s="31" t="s">
        <v>302</v>
      </c>
      <c r="L6" s="31" t="s">
        <v>303</v>
      </c>
    </row>
    <row r="7" spans="2:12" s="3" customFormat="1" ht="13.2" x14ac:dyDescent="0.25">
      <c r="B7" s="38"/>
      <c r="C7" s="21"/>
      <c r="D7" s="21"/>
      <c r="E7" s="21"/>
      <c r="F7" s="21"/>
      <c r="G7" s="39"/>
      <c r="H7" s="47">
        <v>1</v>
      </c>
      <c r="I7" s="40"/>
      <c r="J7" s="9"/>
      <c r="K7" s="9"/>
      <c r="L7" s="9"/>
    </row>
    <row r="8" spans="2:12" s="4" customFormat="1" ht="13.2" x14ac:dyDescent="0.25">
      <c r="B8" s="37"/>
      <c r="C8" s="21"/>
      <c r="D8" s="37" t="s">
        <v>309</v>
      </c>
      <c r="E8" s="21"/>
      <c r="F8" s="21"/>
      <c r="G8" s="39"/>
      <c r="H8" s="47"/>
      <c r="I8" s="40"/>
      <c r="J8" s="11"/>
      <c r="K8" s="11"/>
      <c r="L8" s="11"/>
    </row>
    <row r="9" spans="2:12" s="3" customFormat="1" ht="13.8" thickBot="1" x14ac:dyDescent="0.3">
      <c r="B9" s="38"/>
      <c r="C9" s="21"/>
      <c r="D9" s="21"/>
      <c r="E9" s="21"/>
      <c r="F9" s="21"/>
      <c r="G9" s="39"/>
      <c r="H9" s="47"/>
      <c r="I9" s="40"/>
      <c r="J9" s="9"/>
      <c r="K9" s="11"/>
      <c r="L9" s="11"/>
    </row>
    <row r="10" spans="2:12" s="4" customFormat="1" ht="13.8" thickBot="1" x14ac:dyDescent="0.3">
      <c r="B10" s="38" t="s">
        <v>181</v>
      </c>
      <c r="C10" s="21"/>
      <c r="D10" s="21"/>
      <c r="E10" s="21"/>
      <c r="F10" s="21"/>
      <c r="G10" s="41"/>
      <c r="H10" s="24">
        <v>1</v>
      </c>
      <c r="I10" s="40"/>
      <c r="J10" s="11"/>
      <c r="K10" s="11"/>
      <c r="L10" s="11">
        <f>SUM(C11:F11)*50</f>
        <v>50</v>
      </c>
    </row>
    <row r="11" spans="2:12" s="4" customFormat="1" ht="13.2" x14ac:dyDescent="0.25">
      <c r="B11" s="40" t="s">
        <v>211</v>
      </c>
      <c r="C11" s="21">
        <f>SUM(H10)</f>
        <v>1</v>
      </c>
      <c r="D11" s="21"/>
      <c r="E11" s="21"/>
      <c r="F11" s="21"/>
      <c r="G11" s="41"/>
      <c r="H11" s="27"/>
      <c r="I11" s="40" t="s">
        <v>274</v>
      </c>
      <c r="J11" s="11"/>
      <c r="K11" s="11">
        <f>SUM(C11:G11)*35</f>
        <v>35</v>
      </c>
      <c r="L11" s="11">
        <f>SUM(C12:F12)*50</f>
        <v>50</v>
      </c>
    </row>
    <row r="12" spans="2:12" s="4" customFormat="1" ht="13.2" x14ac:dyDescent="0.25">
      <c r="B12" s="40" t="s">
        <v>212</v>
      </c>
      <c r="C12" s="21">
        <f>SUM(H10)</f>
        <v>1</v>
      </c>
      <c r="D12" s="21"/>
      <c r="E12" s="21"/>
      <c r="F12" s="21"/>
      <c r="G12" s="41"/>
      <c r="H12" s="27"/>
      <c r="I12" s="40" t="s">
        <v>274</v>
      </c>
      <c r="J12" s="10">
        <f>SUM(E13)*50</f>
        <v>50</v>
      </c>
      <c r="K12" s="11">
        <f t="shared" ref="K12" si="0">SUM(C12:G12)*35</f>
        <v>35</v>
      </c>
      <c r="L12" s="11">
        <f>SUM(C13:F13)*50</f>
        <v>50</v>
      </c>
    </row>
    <row r="13" spans="2:12" ht="13.2" x14ac:dyDescent="0.25">
      <c r="B13" s="40" t="s">
        <v>31</v>
      </c>
      <c r="C13" s="21"/>
      <c r="D13" s="21"/>
      <c r="E13" s="21">
        <f>SUM(H10)</f>
        <v>1</v>
      </c>
      <c r="F13" s="21"/>
      <c r="G13" s="41"/>
      <c r="H13" s="27"/>
      <c r="I13" s="40" t="s">
        <v>269</v>
      </c>
      <c r="K13" s="11">
        <f>SUM(C13:G13)*55</f>
        <v>55</v>
      </c>
      <c r="L13" s="11">
        <f>SUM(C14:F14)*50</f>
        <v>50</v>
      </c>
    </row>
    <row r="14" spans="2:12" ht="13.2" x14ac:dyDescent="0.25">
      <c r="B14" s="42" t="s">
        <v>32</v>
      </c>
      <c r="C14" s="19">
        <f>SUM(H10)</f>
        <v>1</v>
      </c>
      <c r="D14" s="19"/>
      <c r="E14" s="19"/>
      <c r="F14" s="19"/>
      <c r="G14" s="39"/>
      <c r="H14" s="27"/>
      <c r="I14" s="42" t="s">
        <v>270</v>
      </c>
      <c r="J14" s="10">
        <f>SUM(E15)*50</f>
        <v>50</v>
      </c>
      <c r="K14" s="11">
        <f>SUM(C14:G14)*45</f>
        <v>45</v>
      </c>
      <c r="L14" s="11">
        <f>SUM(C15:F15)*50</f>
        <v>50</v>
      </c>
    </row>
    <row r="15" spans="2:12" s="4" customFormat="1" ht="13.2" x14ac:dyDescent="0.25">
      <c r="B15" s="40" t="s">
        <v>182</v>
      </c>
      <c r="C15" s="21"/>
      <c r="D15" s="21"/>
      <c r="E15" s="21">
        <f>SUM(H10)</f>
        <v>1</v>
      </c>
      <c r="F15" s="21"/>
      <c r="G15" s="39"/>
      <c r="H15" s="27"/>
      <c r="I15" s="42" t="s">
        <v>271</v>
      </c>
      <c r="J15" s="11"/>
      <c r="K15" s="11">
        <f>SUM(C15:G15)*65</f>
        <v>65</v>
      </c>
      <c r="L15" s="11"/>
    </row>
    <row r="16" spans="2:12" s="4" customFormat="1" ht="13.8" thickBot="1" x14ac:dyDescent="0.3">
      <c r="B16" s="40"/>
      <c r="C16" s="21"/>
      <c r="D16" s="21"/>
      <c r="E16" s="21"/>
      <c r="F16" s="21"/>
      <c r="G16" s="39"/>
      <c r="H16" s="27"/>
      <c r="I16" s="42"/>
      <c r="J16" s="11"/>
      <c r="K16" s="11"/>
      <c r="L16" s="11"/>
    </row>
    <row r="17" spans="2:13" s="4" customFormat="1" ht="13.8" thickBot="1" x14ac:dyDescent="0.3">
      <c r="B17" s="38" t="s">
        <v>278</v>
      </c>
      <c r="C17" s="21"/>
      <c r="D17" s="21"/>
      <c r="E17" s="21"/>
      <c r="F17" s="21"/>
      <c r="G17" s="39" t="s">
        <v>10</v>
      </c>
      <c r="H17" s="23"/>
      <c r="I17" s="40"/>
      <c r="J17" s="11"/>
      <c r="K17" s="11"/>
      <c r="L17" s="11"/>
    </row>
    <row r="18" spans="2:13" s="4" customFormat="1" ht="13.2" x14ac:dyDescent="0.25">
      <c r="B18" s="40" t="s">
        <v>279</v>
      </c>
      <c r="C18" s="21"/>
      <c r="D18" s="21"/>
      <c r="E18" s="21"/>
      <c r="F18" s="21">
        <f>SUM(H17)</f>
        <v>0</v>
      </c>
      <c r="G18" s="26"/>
      <c r="H18" s="28"/>
      <c r="I18" s="40" t="s">
        <v>18</v>
      </c>
      <c r="J18" s="11">
        <f>SUM(200*H17)</f>
        <v>0</v>
      </c>
      <c r="K18" s="11"/>
      <c r="L18" s="11">
        <f>SUM(C18:F18)*50</f>
        <v>0</v>
      </c>
    </row>
    <row r="19" spans="2:13" s="4" customFormat="1" ht="13.2" x14ac:dyDescent="0.25">
      <c r="B19" s="40" t="s">
        <v>280</v>
      </c>
      <c r="C19" s="21"/>
      <c r="D19" s="21"/>
      <c r="E19" s="21">
        <f>SUM(H17)</f>
        <v>0</v>
      </c>
      <c r="F19" s="21"/>
      <c r="G19" s="26"/>
      <c r="H19" s="28"/>
      <c r="I19" s="40" t="s">
        <v>18</v>
      </c>
      <c r="J19" s="10">
        <f>SUM(E19)*50</f>
        <v>0</v>
      </c>
      <c r="K19" s="11"/>
      <c r="L19" s="11">
        <f>SUM(C19:F19)*50</f>
        <v>0</v>
      </c>
    </row>
    <row r="20" spans="2:13" s="4" customFormat="1" ht="13.2" x14ac:dyDescent="0.25">
      <c r="B20" s="40" t="s">
        <v>281</v>
      </c>
      <c r="C20" s="21"/>
      <c r="D20" s="21">
        <f>SUM(H17)</f>
        <v>0</v>
      </c>
      <c r="E20" s="21"/>
      <c r="F20" s="21"/>
      <c r="G20" s="26"/>
      <c r="H20" s="28"/>
      <c r="I20" s="40" t="s">
        <v>228</v>
      </c>
      <c r="J20" s="9">
        <f>SUM(50*H17)</f>
        <v>0</v>
      </c>
      <c r="K20" s="11">
        <f>SUM(C20:G20)*95</f>
        <v>0</v>
      </c>
      <c r="L20" s="11">
        <f>SUM(C20:F20)*50</f>
        <v>0</v>
      </c>
    </row>
    <row r="21" spans="2:13" s="4" customFormat="1" ht="13.8" thickBot="1" x14ac:dyDescent="0.3">
      <c r="B21" s="40"/>
      <c r="C21" s="21"/>
      <c r="D21" s="21"/>
      <c r="E21" s="21"/>
      <c r="F21" s="21"/>
      <c r="G21" s="39"/>
      <c r="H21" s="28"/>
      <c r="I21" s="40"/>
      <c r="J21" s="11"/>
      <c r="K21" s="11"/>
      <c r="L21" s="11"/>
    </row>
    <row r="22" spans="2:13" s="4" customFormat="1" ht="13.8" thickBot="1" x14ac:dyDescent="0.3">
      <c r="B22" s="38" t="s">
        <v>282</v>
      </c>
      <c r="C22" s="21"/>
      <c r="D22" s="21"/>
      <c r="E22" s="21"/>
      <c r="F22" s="21"/>
      <c r="G22" s="39" t="s">
        <v>10</v>
      </c>
      <c r="H22" s="25"/>
      <c r="I22" s="40"/>
    </row>
    <row r="23" spans="2:13" s="3" customFormat="1" ht="13.2" x14ac:dyDescent="0.25">
      <c r="B23" s="40" t="s">
        <v>227</v>
      </c>
      <c r="C23" s="21"/>
      <c r="D23" s="21"/>
      <c r="E23" s="21"/>
      <c r="F23" s="21">
        <f>SUM(H22)</f>
        <v>0</v>
      </c>
      <c r="G23" s="26"/>
      <c r="H23" s="29"/>
      <c r="I23" s="40" t="s">
        <v>18</v>
      </c>
      <c r="J23" s="11">
        <f>PRODUCT(250,H22)</f>
        <v>250</v>
      </c>
      <c r="K23" s="11"/>
      <c r="L23" s="11">
        <f>SUM(C23:F23)*50</f>
        <v>0</v>
      </c>
    </row>
    <row r="24" spans="2:13" s="4" customFormat="1" ht="13.2" x14ac:dyDescent="0.25">
      <c r="B24" s="40" t="s">
        <v>226</v>
      </c>
      <c r="C24" s="21"/>
      <c r="D24" s="21"/>
      <c r="E24" s="21">
        <f>SUM(H22)</f>
        <v>0</v>
      </c>
      <c r="F24" s="21"/>
      <c r="G24" s="26"/>
      <c r="H24" s="29"/>
      <c r="I24" s="40" t="s">
        <v>18</v>
      </c>
      <c r="J24" s="10">
        <f>SUM(E24)*50</f>
        <v>0</v>
      </c>
      <c r="K24" s="11"/>
      <c r="L24" s="11">
        <f>SUM(C24:F24)*50</f>
        <v>0</v>
      </c>
    </row>
    <row r="25" spans="2:13" s="4" customFormat="1" ht="13.2" x14ac:dyDescent="0.25">
      <c r="B25" s="40" t="s">
        <v>29</v>
      </c>
      <c r="C25" s="21"/>
      <c r="D25" s="21">
        <f>SUM(H22)</f>
        <v>0</v>
      </c>
      <c r="E25" s="21"/>
      <c r="F25" s="21"/>
      <c r="G25" s="26"/>
      <c r="H25" s="29"/>
      <c r="I25" s="40" t="s">
        <v>228</v>
      </c>
      <c r="J25" s="9">
        <f>SUM(50*H22)</f>
        <v>0</v>
      </c>
      <c r="K25" s="11"/>
      <c r="L25" s="11">
        <f>SUM(C25:F25)*50</f>
        <v>0</v>
      </c>
    </row>
    <row r="26" spans="2:13" s="4" customFormat="1" ht="13.2" x14ac:dyDescent="0.25">
      <c r="B26" s="40" t="s">
        <v>201</v>
      </c>
      <c r="C26" s="21">
        <f>SUM(H22)</f>
        <v>0</v>
      </c>
      <c r="D26" s="21"/>
      <c r="E26" s="21"/>
      <c r="F26" s="21"/>
      <c r="G26" s="39"/>
      <c r="H26" s="29"/>
      <c r="I26" s="40" t="s">
        <v>274</v>
      </c>
      <c r="J26" s="11"/>
      <c r="K26" s="11">
        <f>SUM(35*H22)</f>
        <v>0</v>
      </c>
      <c r="L26" s="11">
        <f>SUM(C26:F26)*50</f>
        <v>0</v>
      </c>
    </row>
    <row r="27" spans="2:13" s="4" customFormat="1" ht="13.2" x14ac:dyDescent="0.25">
      <c r="B27" s="40" t="s">
        <v>202</v>
      </c>
      <c r="C27" s="21">
        <f>SUM(H22)</f>
        <v>0</v>
      </c>
      <c r="D27" s="21"/>
      <c r="E27" s="21"/>
      <c r="F27" s="21"/>
      <c r="G27" s="26"/>
      <c r="H27" s="29"/>
      <c r="I27" s="40" t="s">
        <v>274</v>
      </c>
      <c r="J27" s="11"/>
      <c r="K27" s="11">
        <f>SUM(35*H22)</f>
        <v>0</v>
      </c>
      <c r="L27" s="11">
        <f>SUM(C27:F27)*50</f>
        <v>0</v>
      </c>
    </row>
    <row r="28" spans="2:13" s="4" customFormat="1" ht="13.8" thickBot="1" x14ac:dyDescent="0.3">
      <c r="B28" s="40"/>
      <c r="C28" s="21"/>
      <c r="D28" s="21"/>
      <c r="E28" s="21"/>
      <c r="F28" s="21"/>
      <c r="G28" s="39"/>
      <c r="H28" s="29"/>
      <c r="I28" s="40"/>
    </row>
    <row r="29" spans="2:13" s="4" customFormat="1" ht="14.25" customHeight="1" thickBot="1" x14ac:dyDescent="0.3">
      <c r="B29" s="38" t="s">
        <v>30</v>
      </c>
      <c r="C29" s="21"/>
      <c r="D29" s="21"/>
      <c r="E29" s="21"/>
      <c r="F29" s="21"/>
      <c r="G29" s="39" t="s">
        <v>10</v>
      </c>
      <c r="H29" s="25"/>
      <c r="I29" s="40"/>
      <c r="J29" s="11">
        <f>SUM(150*H29)</f>
        <v>0</v>
      </c>
      <c r="K29" s="11"/>
      <c r="L29" s="11"/>
    </row>
    <row r="30" spans="2:13" s="4" customFormat="1" ht="14.25" customHeight="1" x14ac:dyDescent="0.25">
      <c r="B30" s="40" t="s">
        <v>229</v>
      </c>
      <c r="C30" s="21"/>
      <c r="D30" s="21"/>
      <c r="E30" s="21">
        <f>SUM(H29)</f>
        <v>0</v>
      </c>
      <c r="F30" s="21"/>
      <c r="G30" s="39"/>
      <c r="H30" s="29"/>
      <c r="I30" s="40" t="s">
        <v>18</v>
      </c>
      <c r="J30" s="11">
        <f>SUM(25*H29)</f>
        <v>0</v>
      </c>
      <c r="K30" s="11"/>
      <c r="L30" s="11">
        <f>SUM(C30:F30)*50</f>
        <v>0</v>
      </c>
    </row>
    <row r="31" spans="2:13" s="4" customFormat="1" ht="13.2" x14ac:dyDescent="0.25">
      <c r="B31" s="40" t="s">
        <v>230</v>
      </c>
      <c r="C31" s="21"/>
      <c r="D31" s="21"/>
      <c r="E31" s="21">
        <f>SUM(H29)</f>
        <v>0</v>
      </c>
      <c r="F31" s="21"/>
      <c r="G31" s="39"/>
      <c r="H31" s="29"/>
      <c r="I31" s="40" t="s">
        <v>18</v>
      </c>
      <c r="J31" s="11">
        <f>SUM(25*H29)</f>
        <v>0</v>
      </c>
      <c r="K31" s="11"/>
      <c r="L31" s="11">
        <f>SUM(C31:F31)*50</f>
        <v>0</v>
      </c>
    </row>
    <row r="32" spans="2:13" s="3" customFormat="1" ht="13.8" thickBot="1" x14ac:dyDescent="0.3">
      <c r="B32" s="40"/>
      <c r="C32" s="21"/>
      <c r="D32" s="21"/>
      <c r="E32" s="21"/>
      <c r="F32" s="21"/>
      <c r="G32" s="39"/>
      <c r="H32" s="29"/>
      <c r="I32" s="40"/>
      <c r="J32" s="11"/>
      <c r="K32" s="11"/>
      <c r="L32" s="11"/>
      <c r="M32" s="4"/>
    </row>
    <row r="33" spans="2:13" s="4" customFormat="1" ht="13.8" thickBot="1" x14ac:dyDescent="0.3">
      <c r="B33" s="38" t="s">
        <v>167</v>
      </c>
      <c r="C33" s="21"/>
      <c r="D33" s="21"/>
      <c r="E33" s="21"/>
      <c r="F33" s="21"/>
      <c r="G33" s="39"/>
      <c r="H33" s="25"/>
      <c r="I33" s="40"/>
      <c r="J33" s="9"/>
      <c r="K33" s="11"/>
      <c r="L33" s="11"/>
      <c r="M33" s="3"/>
    </row>
    <row r="34" spans="2:13" s="4" customFormat="1" ht="13.2" x14ac:dyDescent="0.25">
      <c r="B34" s="40" t="s">
        <v>168</v>
      </c>
      <c r="C34" s="21"/>
      <c r="D34" s="21"/>
      <c r="E34" s="21">
        <f>SUM(H33)</f>
        <v>0</v>
      </c>
      <c r="F34" s="21"/>
      <c r="G34" s="39"/>
      <c r="H34" s="29"/>
      <c r="I34" s="40" t="s">
        <v>18</v>
      </c>
      <c r="J34" s="11">
        <f>SUM(50*H33)</f>
        <v>0</v>
      </c>
      <c r="K34" s="11"/>
      <c r="L34" s="11">
        <f>SUM(C34:F34)*50</f>
        <v>0</v>
      </c>
    </row>
    <row r="35" spans="2:13" ht="13.8" thickBot="1" x14ac:dyDescent="0.3">
      <c r="B35" s="40"/>
      <c r="C35" s="21"/>
      <c r="D35" s="21"/>
      <c r="E35" s="21"/>
      <c r="F35" s="21"/>
      <c r="G35" s="41"/>
      <c r="H35" s="27"/>
      <c r="I35" s="40"/>
      <c r="J35" s="11"/>
      <c r="K35" s="11"/>
      <c r="L35" s="11"/>
      <c r="M35" s="4"/>
    </row>
    <row r="36" spans="2:13" s="4" customFormat="1" ht="15" customHeight="1" thickBot="1" x14ac:dyDescent="0.3">
      <c r="B36" s="38" t="s">
        <v>296</v>
      </c>
      <c r="C36" s="21"/>
      <c r="D36" s="21"/>
      <c r="E36" s="21"/>
      <c r="F36" s="21"/>
      <c r="G36" s="39"/>
      <c r="H36" s="25"/>
      <c r="I36" s="42"/>
      <c r="J36" s="10"/>
      <c r="K36" s="11"/>
      <c r="L36" s="11"/>
      <c r="M36" s="2"/>
    </row>
    <row r="37" spans="2:13" s="4" customFormat="1" ht="15" customHeight="1" x14ac:dyDescent="0.25">
      <c r="B37" s="38" t="s">
        <v>290</v>
      </c>
      <c r="C37" s="21"/>
      <c r="D37" s="21"/>
      <c r="E37" s="21"/>
      <c r="F37" s="21"/>
      <c r="G37" s="39" t="s">
        <v>10</v>
      </c>
      <c r="H37" s="29"/>
      <c r="I37" s="40" t="s">
        <v>298</v>
      </c>
      <c r="J37" s="11">
        <f>SUM(350*H36)</f>
        <v>0</v>
      </c>
      <c r="K37" s="11"/>
      <c r="L37" s="11"/>
    </row>
    <row r="38" spans="2:13" s="4" customFormat="1" ht="15" customHeight="1" x14ac:dyDescent="0.25">
      <c r="B38" s="40" t="s">
        <v>62</v>
      </c>
      <c r="C38" s="21"/>
      <c r="D38" s="21"/>
      <c r="E38" s="21"/>
      <c r="F38" s="21">
        <f>SUM(H36)</f>
        <v>0</v>
      </c>
      <c r="G38" s="39"/>
      <c r="H38" s="29"/>
      <c r="I38" s="40" t="s">
        <v>18</v>
      </c>
      <c r="J38" s="11"/>
      <c r="K38" s="11"/>
      <c r="L38" s="11">
        <f>SUM(C38:F38)*50</f>
        <v>0</v>
      </c>
    </row>
    <row r="39" spans="2:13" s="4" customFormat="1" ht="15" customHeight="1" x14ac:dyDescent="0.25">
      <c r="B39" s="40" t="s">
        <v>297</v>
      </c>
      <c r="C39" s="21"/>
      <c r="D39" s="21"/>
      <c r="E39" s="21">
        <f>SUM(H36)</f>
        <v>0</v>
      </c>
      <c r="F39" s="21"/>
      <c r="G39" s="39"/>
      <c r="H39" s="29"/>
      <c r="I39" s="40" t="s">
        <v>18</v>
      </c>
      <c r="J39" s="10"/>
      <c r="K39" s="11">
        <f>SUM(C39:F39)*30</f>
        <v>0</v>
      </c>
      <c r="L39" s="11">
        <f>SUM(C39:F39)*50</f>
        <v>0</v>
      </c>
    </row>
    <row r="40" spans="2:13" s="3" customFormat="1" ht="15" customHeight="1" x14ac:dyDescent="0.25">
      <c r="B40" s="43" t="s">
        <v>221</v>
      </c>
      <c r="C40" s="21"/>
      <c r="D40" s="21">
        <f>SUM(H36)</f>
        <v>0</v>
      </c>
      <c r="E40" s="21">
        <f>SUM(H36)</f>
        <v>0</v>
      </c>
      <c r="F40" s="21">
        <f>SUM(H36)</f>
        <v>0</v>
      </c>
      <c r="G40" s="39"/>
      <c r="H40" s="29"/>
      <c r="I40" s="44" t="s">
        <v>299</v>
      </c>
      <c r="J40" s="11"/>
      <c r="K40" s="11"/>
      <c r="L40" s="11">
        <f>SUM(C40:F40)*50</f>
        <v>0</v>
      </c>
      <c r="M40" s="4"/>
    </row>
    <row r="41" spans="2:13" s="4" customFormat="1" ht="15" customHeight="1" x14ac:dyDescent="0.25">
      <c r="B41" s="40" t="s">
        <v>33</v>
      </c>
      <c r="C41" s="21">
        <f>SUM(H36)</f>
        <v>0</v>
      </c>
      <c r="D41" s="21"/>
      <c r="E41" s="21"/>
      <c r="F41" s="21"/>
      <c r="G41" s="21"/>
      <c r="H41" s="29"/>
      <c r="I41" s="40" t="s">
        <v>274</v>
      </c>
      <c r="J41" s="11"/>
      <c r="K41" s="11">
        <f>SUM(35*H36)</f>
        <v>0</v>
      </c>
      <c r="L41" s="11">
        <f t="shared" ref="L41:L42" si="1">SUM(C41:F41)*50</f>
        <v>0</v>
      </c>
    </row>
    <row r="42" spans="2:13" s="4" customFormat="1" ht="15" customHeight="1" x14ac:dyDescent="0.25">
      <c r="B42" s="42" t="s">
        <v>36</v>
      </c>
      <c r="C42" s="19"/>
      <c r="D42" s="19">
        <f>SUM(H36)</f>
        <v>0</v>
      </c>
      <c r="E42" s="19"/>
      <c r="F42" s="19"/>
      <c r="G42" s="21"/>
      <c r="H42" s="29"/>
      <c r="I42" s="44" t="s">
        <v>67</v>
      </c>
      <c r="J42" s="9"/>
      <c r="K42" s="11">
        <f>SUM(C42:F42)*300</f>
        <v>0</v>
      </c>
      <c r="L42" s="11">
        <f t="shared" si="1"/>
        <v>0</v>
      </c>
      <c r="M42" s="3"/>
    </row>
    <row r="43" spans="2:13" s="4" customFormat="1" ht="15" customHeight="1" thickBot="1" x14ac:dyDescent="0.3">
      <c r="B43" s="42"/>
      <c r="C43" s="19"/>
      <c r="D43" s="19"/>
      <c r="E43" s="19"/>
      <c r="F43" s="19"/>
      <c r="G43" s="11"/>
      <c r="H43" s="28"/>
      <c r="I43" s="40"/>
      <c r="J43" s="9"/>
      <c r="K43" s="11"/>
      <c r="L43" s="11"/>
      <c r="M43" s="3"/>
    </row>
    <row r="44" spans="2:13" s="4" customFormat="1" ht="15" customHeight="1" thickBot="1" x14ac:dyDescent="0.3">
      <c r="B44" s="38" t="s">
        <v>288</v>
      </c>
      <c r="C44" s="19"/>
      <c r="D44" s="19"/>
      <c r="E44" s="19"/>
      <c r="F44" s="19"/>
      <c r="G44" s="11"/>
      <c r="H44" s="23"/>
      <c r="I44" s="42"/>
      <c r="J44" s="11"/>
      <c r="K44" s="11"/>
      <c r="L44" s="11"/>
    </row>
    <row r="45" spans="2:13" s="4" customFormat="1" ht="15" customHeight="1" x14ac:dyDescent="0.25">
      <c r="B45" s="40" t="s">
        <v>185</v>
      </c>
      <c r="C45" s="21"/>
      <c r="D45" s="21"/>
      <c r="E45" s="21"/>
      <c r="F45" s="21"/>
      <c r="G45" s="39" t="s">
        <v>10</v>
      </c>
      <c r="H45" s="29"/>
      <c r="I45" s="40"/>
      <c r="J45" s="11">
        <f>SUM(250*H44)</f>
        <v>0</v>
      </c>
      <c r="K45" s="11"/>
      <c r="L45" s="11"/>
    </row>
    <row r="46" spans="2:13" s="4" customFormat="1" ht="15" customHeight="1" x14ac:dyDescent="0.25">
      <c r="B46" s="40" t="s">
        <v>186</v>
      </c>
      <c r="C46" s="21"/>
      <c r="D46" s="21"/>
      <c r="E46" s="21">
        <f>SUM(H44)</f>
        <v>0</v>
      </c>
      <c r="F46" s="21">
        <f>SUM(H44)</f>
        <v>0</v>
      </c>
      <c r="G46" s="11"/>
      <c r="H46" s="28"/>
      <c r="I46" s="40" t="s">
        <v>18</v>
      </c>
      <c r="J46" s="11"/>
      <c r="K46" s="11"/>
      <c r="L46" s="11">
        <f t="shared" ref="L46:L51" si="2">SUM(C46:F46)*50</f>
        <v>0</v>
      </c>
    </row>
    <row r="47" spans="2:13" ht="15" customHeight="1" x14ac:dyDescent="0.25">
      <c r="B47" s="40" t="s">
        <v>37</v>
      </c>
      <c r="C47" s="21">
        <f>SUM(H44)</f>
        <v>0</v>
      </c>
      <c r="D47" s="21"/>
      <c r="E47" s="21"/>
      <c r="F47" s="21"/>
      <c r="G47" s="11"/>
      <c r="H47" s="28"/>
      <c r="I47" s="40" t="s">
        <v>27</v>
      </c>
      <c r="J47" s="11"/>
      <c r="K47" s="11">
        <f>SUM(C47:F47)*35</f>
        <v>0</v>
      </c>
      <c r="L47" s="11">
        <f t="shared" si="2"/>
        <v>0</v>
      </c>
      <c r="M47" s="4"/>
    </row>
    <row r="48" spans="2:13" ht="15" customHeight="1" x14ac:dyDescent="0.25">
      <c r="B48" s="40" t="s">
        <v>38</v>
      </c>
      <c r="C48" s="21"/>
      <c r="D48" s="21"/>
      <c r="E48" s="21">
        <f>SUM(H44)</f>
        <v>0</v>
      </c>
      <c r="F48" s="21"/>
      <c r="G48" s="11"/>
      <c r="H48" s="28"/>
      <c r="I48" s="40" t="s">
        <v>0</v>
      </c>
      <c r="K48" s="11">
        <f>SUM(C48:F48)*65</f>
        <v>0</v>
      </c>
      <c r="L48" s="11">
        <f t="shared" si="2"/>
        <v>0</v>
      </c>
    </row>
    <row r="49" spans="2:13" s="4" customFormat="1" ht="15" customHeight="1" x14ac:dyDescent="0.25">
      <c r="B49" s="40" t="s">
        <v>33</v>
      </c>
      <c r="C49" s="21">
        <f>SUM(H44)</f>
        <v>0</v>
      </c>
      <c r="D49" s="21"/>
      <c r="E49" s="21"/>
      <c r="F49" s="21"/>
      <c r="G49" s="11"/>
      <c r="H49" s="28"/>
      <c r="I49" s="40" t="s">
        <v>274</v>
      </c>
      <c r="J49" s="11"/>
      <c r="K49" s="11">
        <f>SUM(35*H44)</f>
        <v>0</v>
      </c>
      <c r="L49" s="11">
        <f t="shared" si="2"/>
        <v>0</v>
      </c>
      <c r="M49" s="2"/>
    </row>
    <row r="50" spans="2:13" ht="15" customHeight="1" x14ac:dyDescent="0.25">
      <c r="B50" s="40" t="s">
        <v>34</v>
      </c>
      <c r="C50" s="21">
        <f>SUM(H44)</f>
        <v>0</v>
      </c>
      <c r="D50" s="21"/>
      <c r="E50" s="21"/>
      <c r="F50" s="21"/>
      <c r="G50" s="11"/>
      <c r="H50" s="28"/>
      <c r="I50" s="40" t="s">
        <v>274</v>
      </c>
      <c r="J50" s="11"/>
      <c r="K50" s="11">
        <f>SUM(35*H44)</f>
        <v>0</v>
      </c>
      <c r="L50" s="11">
        <f t="shared" si="2"/>
        <v>0</v>
      </c>
      <c r="M50" s="4"/>
    </row>
    <row r="51" spans="2:13" s="1" customFormat="1" ht="15" customHeight="1" thickBot="1" x14ac:dyDescent="0.3">
      <c r="B51" s="40" t="s">
        <v>36</v>
      </c>
      <c r="C51" s="21"/>
      <c r="D51" s="21">
        <f>SUM(H44)</f>
        <v>0</v>
      </c>
      <c r="E51" s="21"/>
      <c r="F51" s="21"/>
      <c r="G51" s="11"/>
      <c r="H51" s="28"/>
      <c r="I51" s="38" t="s">
        <v>67</v>
      </c>
      <c r="J51" s="10"/>
      <c r="K51" s="11">
        <f>SUM(C51:F51)*300</f>
        <v>0</v>
      </c>
      <c r="L51" s="11">
        <f t="shared" si="2"/>
        <v>0</v>
      </c>
      <c r="M51" s="2"/>
    </row>
    <row r="52" spans="2:13" s="1" customFormat="1" ht="15" customHeight="1" thickBot="1" x14ac:dyDescent="0.3">
      <c r="B52" s="38" t="s">
        <v>283</v>
      </c>
      <c r="C52" s="21"/>
      <c r="D52" s="21"/>
      <c r="E52" s="21"/>
      <c r="F52" s="21"/>
      <c r="G52" s="11"/>
      <c r="H52" s="23"/>
      <c r="I52" s="40"/>
      <c r="J52" s="13"/>
      <c r="K52" s="11"/>
      <c r="L52" s="11"/>
    </row>
    <row r="53" spans="2:13" s="1" customFormat="1" ht="15" customHeight="1" x14ac:dyDescent="0.25">
      <c r="B53" s="40" t="s">
        <v>166</v>
      </c>
      <c r="C53" s="21"/>
      <c r="D53" s="21"/>
      <c r="E53" s="21"/>
      <c r="F53" s="21">
        <f>SUM(H52)</f>
        <v>0</v>
      </c>
      <c r="G53" s="11"/>
      <c r="H53" s="28"/>
      <c r="I53" s="40" t="s">
        <v>18</v>
      </c>
      <c r="J53" s="13">
        <f>SUM(350*H52)</f>
        <v>0</v>
      </c>
      <c r="K53" s="11"/>
      <c r="L53" s="11">
        <f>SUM(C53:F53)*50</f>
        <v>0</v>
      </c>
    </row>
    <row r="54" spans="2:13" s="1" customFormat="1" ht="15" customHeight="1" thickBot="1" x14ac:dyDescent="0.3">
      <c r="B54" s="40" t="s">
        <v>68</v>
      </c>
      <c r="C54" s="21">
        <f>SUM(H52)</f>
        <v>0</v>
      </c>
      <c r="D54" s="21"/>
      <c r="E54" s="21"/>
      <c r="F54" s="21"/>
      <c r="G54" s="11"/>
      <c r="H54" s="28"/>
      <c r="I54" s="40" t="s">
        <v>69</v>
      </c>
      <c r="J54" s="13"/>
      <c r="K54" s="11" t="s">
        <v>234</v>
      </c>
      <c r="L54" s="11">
        <f>SUM(C54:F54)*50</f>
        <v>0</v>
      </c>
    </row>
    <row r="55" spans="2:13" s="1" customFormat="1" ht="15" customHeight="1" thickBot="1" x14ac:dyDescent="0.3">
      <c r="B55" s="38" t="s">
        <v>283</v>
      </c>
      <c r="C55" s="21"/>
      <c r="D55" s="21"/>
      <c r="E55" s="21"/>
      <c r="F55" s="21"/>
      <c r="G55" s="11"/>
      <c r="H55" s="23"/>
      <c r="I55" s="40"/>
      <c r="J55" s="13"/>
      <c r="K55" s="11"/>
      <c r="L55" s="11"/>
    </row>
    <row r="56" spans="2:13" s="1" customFormat="1" ht="15" customHeight="1" x14ac:dyDescent="0.25">
      <c r="B56" s="40" t="s">
        <v>166</v>
      </c>
      <c r="C56" s="21"/>
      <c r="D56" s="21"/>
      <c r="E56" s="21"/>
      <c r="F56" s="21">
        <f>SUM(H55)</f>
        <v>0</v>
      </c>
      <c r="G56" s="11"/>
      <c r="H56" s="28"/>
      <c r="I56" s="40" t="s">
        <v>18</v>
      </c>
      <c r="J56" s="13">
        <f>SUM(350*H55)</f>
        <v>0</v>
      </c>
      <c r="K56" s="11"/>
      <c r="L56" s="11">
        <f>SUM(C56:F56)*50</f>
        <v>0</v>
      </c>
    </row>
    <row r="57" spans="2:13" s="1" customFormat="1" ht="15" customHeight="1" thickBot="1" x14ac:dyDescent="0.3">
      <c r="B57" s="40"/>
      <c r="C57" s="21"/>
      <c r="D57" s="21"/>
      <c r="E57" s="21"/>
      <c r="F57" s="21"/>
      <c r="G57" s="11"/>
      <c r="H57" s="28"/>
      <c r="I57" s="40"/>
      <c r="J57" s="13"/>
      <c r="K57" s="11" t="s">
        <v>234</v>
      </c>
      <c r="L57" s="11">
        <f>SUM(C57:F57)*50</f>
        <v>0</v>
      </c>
    </row>
    <row r="58" spans="2:13" s="1" customFormat="1" ht="15" customHeight="1" thickBot="1" x14ac:dyDescent="0.3">
      <c r="B58" s="38" t="s">
        <v>39</v>
      </c>
      <c r="C58" s="21"/>
      <c r="D58" s="21"/>
      <c r="E58" s="21"/>
      <c r="F58" s="21"/>
      <c r="G58" s="11"/>
      <c r="H58" s="23"/>
      <c r="I58" s="40"/>
      <c r="J58" s="13"/>
      <c r="K58" s="11"/>
      <c r="L58" s="11"/>
    </row>
    <row r="59" spans="2:13" s="1" customFormat="1" ht="15" customHeight="1" x14ac:dyDescent="0.25">
      <c r="B59" s="40" t="s">
        <v>199</v>
      </c>
      <c r="C59" s="21"/>
      <c r="D59" s="21"/>
      <c r="E59" s="21"/>
      <c r="F59" s="21"/>
      <c r="G59" s="39" t="s">
        <v>9</v>
      </c>
      <c r="H59" s="29"/>
      <c r="I59" s="40" t="s">
        <v>18</v>
      </c>
      <c r="J59" s="13">
        <f>SUM(350*H58)</f>
        <v>0</v>
      </c>
      <c r="K59" s="11"/>
      <c r="L59" s="11"/>
    </row>
    <row r="60" spans="2:13" s="1" customFormat="1" ht="15" customHeight="1" x14ac:dyDescent="0.25">
      <c r="B60" s="40" t="s">
        <v>183</v>
      </c>
      <c r="C60" s="21"/>
      <c r="D60" s="21"/>
      <c r="E60" s="21">
        <f>SUM(H58)</f>
        <v>0</v>
      </c>
      <c r="F60" s="21">
        <f>SUM(H58)</f>
        <v>0</v>
      </c>
      <c r="G60" s="11"/>
      <c r="H60" s="28"/>
      <c r="I60" s="40" t="s">
        <v>26</v>
      </c>
      <c r="J60" s="13"/>
      <c r="K60" s="11">
        <f>SUM(30*H58)</f>
        <v>0</v>
      </c>
      <c r="L60" s="11">
        <f>SUM(C60:F60)*50</f>
        <v>0</v>
      </c>
    </row>
    <row r="61" spans="2:13" s="1" customFormat="1" ht="15" customHeight="1" thickBot="1" x14ac:dyDescent="0.3">
      <c r="B61" s="40"/>
      <c r="C61" s="21"/>
      <c r="D61" s="21"/>
      <c r="E61" s="21"/>
      <c r="F61" s="21"/>
      <c r="G61" s="11"/>
      <c r="H61" s="28"/>
      <c r="I61" s="40"/>
      <c r="J61" s="13"/>
      <c r="K61" s="11"/>
      <c r="L61" s="11"/>
    </row>
    <row r="62" spans="2:13" s="1" customFormat="1" ht="15" customHeight="1" thickBot="1" x14ac:dyDescent="0.3">
      <c r="B62" s="38" t="s">
        <v>42</v>
      </c>
      <c r="C62" s="21"/>
      <c r="D62" s="21"/>
      <c r="E62" s="21"/>
      <c r="F62" s="21"/>
      <c r="G62" s="11"/>
      <c r="H62" s="23"/>
      <c r="I62" s="40"/>
      <c r="J62" s="13"/>
      <c r="K62" s="11"/>
      <c r="L62" s="11"/>
    </row>
    <row r="63" spans="2:13" s="1" customFormat="1" ht="15" customHeight="1" x14ac:dyDescent="0.25">
      <c r="B63" s="40" t="s">
        <v>187</v>
      </c>
      <c r="C63" s="21"/>
      <c r="D63" s="21"/>
      <c r="E63" s="21"/>
      <c r="F63" s="21"/>
      <c r="G63" s="39" t="s">
        <v>10</v>
      </c>
      <c r="H63" s="29"/>
      <c r="I63" s="40"/>
      <c r="J63" s="13">
        <f>SUM(150*H62)</f>
        <v>0</v>
      </c>
      <c r="K63" s="11"/>
      <c r="L63" s="11"/>
    </row>
    <row r="64" spans="2:13" s="1" customFormat="1" ht="15" customHeight="1" x14ac:dyDescent="0.25">
      <c r="B64" s="40" t="s">
        <v>43</v>
      </c>
      <c r="C64" s="21"/>
      <c r="D64" s="21"/>
      <c r="E64" s="21">
        <f>SUM(H62)</f>
        <v>0</v>
      </c>
      <c r="F64" s="21"/>
      <c r="G64" s="11"/>
      <c r="H64" s="28"/>
      <c r="I64" s="44" t="s">
        <v>236</v>
      </c>
      <c r="J64" s="13"/>
      <c r="K64" s="11"/>
      <c r="L64" s="11">
        <f>SUM(C64:F64)*50</f>
        <v>0</v>
      </c>
    </row>
    <row r="65" spans="2:12" s="1" customFormat="1" ht="15" customHeight="1" x14ac:dyDescent="0.25">
      <c r="B65" s="42" t="s">
        <v>180</v>
      </c>
      <c r="C65" s="19"/>
      <c r="D65" s="19"/>
      <c r="E65" s="19">
        <f>SUM(H62)</f>
        <v>0</v>
      </c>
      <c r="F65" s="19"/>
      <c r="G65" s="11"/>
      <c r="H65" s="28"/>
      <c r="I65" s="44" t="s">
        <v>236</v>
      </c>
      <c r="J65" s="13"/>
      <c r="K65" s="11"/>
      <c r="L65" s="11">
        <f>SUM(C65:F65)*50</f>
        <v>0</v>
      </c>
    </row>
    <row r="66" spans="2:12" s="1" customFormat="1" ht="15" customHeight="1" x14ac:dyDescent="0.25">
      <c r="B66" s="40" t="s">
        <v>235</v>
      </c>
      <c r="C66" s="21"/>
      <c r="D66" s="21"/>
      <c r="E66" s="21">
        <f>SUM(H62)</f>
        <v>0</v>
      </c>
      <c r="F66" s="21"/>
      <c r="G66" s="11"/>
      <c r="H66" s="28"/>
      <c r="I66" s="44" t="s">
        <v>236</v>
      </c>
      <c r="J66" s="13"/>
      <c r="K66" s="11"/>
      <c r="L66" s="11">
        <f>SUM(C66:F66)*50</f>
        <v>0</v>
      </c>
    </row>
    <row r="67" spans="2:12" s="1" customFormat="1" ht="15" customHeight="1" thickBot="1" x14ac:dyDescent="0.3">
      <c r="B67" s="40"/>
      <c r="C67" s="21"/>
      <c r="D67" s="21"/>
      <c r="E67" s="21"/>
      <c r="F67" s="21"/>
      <c r="G67" s="11"/>
      <c r="H67" s="28"/>
      <c r="I67" s="44"/>
      <c r="J67" s="13"/>
      <c r="K67" s="11"/>
      <c r="L67" s="11"/>
    </row>
    <row r="68" spans="2:12" s="1" customFormat="1" ht="15" customHeight="1" thickBot="1" x14ac:dyDescent="0.3">
      <c r="B68" s="38" t="s">
        <v>46</v>
      </c>
      <c r="C68" s="21"/>
      <c r="D68" s="21"/>
      <c r="E68" s="21"/>
      <c r="F68" s="21"/>
      <c r="G68" s="17"/>
      <c r="H68" s="23"/>
      <c r="I68" s="42"/>
      <c r="J68" s="13"/>
      <c r="K68" s="11"/>
      <c r="L68" s="11"/>
    </row>
    <row r="69" spans="2:12" s="1" customFormat="1" ht="15" customHeight="1" x14ac:dyDescent="0.25">
      <c r="B69" s="40" t="s">
        <v>72</v>
      </c>
      <c r="C69" s="21"/>
      <c r="D69" s="21"/>
      <c r="E69" s="21">
        <f>SUM(H68)</f>
        <v>0</v>
      </c>
      <c r="F69" s="21"/>
      <c r="G69" s="11"/>
      <c r="H69" s="30"/>
      <c r="I69" s="40" t="s">
        <v>23</v>
      </c>
      <c r="J69" s="13"/>
      <c r="K69" s="11">
        <f>SUM(C69:F69)*55</f>
        <v>0</v>
      </c>
      <c r="L69" s="11">
        <f t="shared" ref="L69:L75" si="3">SUM(C69:F69)*50</f>
        <v>0</v>
      </c>
    </row>
    <row r="70" spans="2:12" s="1" customFormat="1" ht="15" customHeight="1" x14ac:dyDescent="0.25">
      <c r="B70" s="42" t="s">
        <v>73</v>
      </c>
      <c r="C70" s="19"/>
      <c r="D70" s="19"/>
      <c r="E70" s="19">
        <f>SUM(H68)</f>
        <v>0</v>
      </c>
      <c r="F70" s="19"/>
      <c r="G70" s="11"/>
      <c r="H70" s="28"/>
      <c r="I70" s="40" t="s">
        <v>23</v>
      </c>
      <c r="J70" s="13"/>
      <c r="K70" s="11">
        <f>SUM(C70:F70)*55</f>
        <v>0</v>
      </c>
      <c r="L70" s="11">
        <f t="shared" si="3"/>
        <v>0</v>
      </c>
    </row>
    <row r="71" spans="2:12" s="1" customFormat="1" ht="15" customHeight="1" x14ac:dyDescent="0.25">
      <c r="B71" s="42" t="s">
        <v>74</v>
      </c>
      <c r="C71" s="19"/>
      <c r="D71" s="21"/>
      <c r="E71" s="21">
        <f>SUM(H68)</f>
        <v>0</v>
      </c>
      <c r="F71" s="21"/>
      <c r="G71" s="11"/>
      <c r="H71" s="28"/>
      <c r="I71" s="40" t="s">
        <v>23</v>
      </c>
      <c r="J71" s="13"/>
      <c r="K71" s="11">
        <f>SUM(C71:F71)*55</f>
        <v>0</v>
      </c>
      <c r="L71" s="11">
        <f t="shared" si="3"/>
        <v>0</v>
      </c>
    </row>
    <row r="72" spans="2:12" s="1" customFormat="1" ht="15" customHeight="1" x14ac:dyDescent="0.25">
      <c r="B72" s="40" t="s">
        <v>75</v>
      </c>
      <c r="C72" s="21"/>
      <c r="D72" s="21"/>
      <c r="E72" s="21">
        <f>SUM(H68)</f>
        <v>0</v>
      </c>
      <c r="F72" s="21"/>
      <c r="G72" s="11"/>
      <c r="H72" s="28"/>
      <c r="I72" s="42" t="s">
        <v>23</v>
      </c>
      <c r="J72" s="13"/>
      <c r="K72" s="11">
        <f>SUM(C72:F72)*55</f>
        <v>0</v>
      </c>
      <c r="L72" s="11">
        <f t="shared" si="3"/>
        <v>0</v>
      </c>
    </row>
    <row r="73" spans="2:12" s="1" customFormat="1" ht="15" customHeight="1" x14ac:dyDescent="0.25">
      <c r="B73" s="42" t="s">
        <v>76</v>
      </c>
      <c r="C73" s="19">
        <f>SUM(H68)</f>
        <v>0</v>
      </c>
      <c r="D73" s="19"/>
      <c r="E73" s="19"/>
      <c r="F73" s="19"/>
      <c r="G73" s="11"/>
      <c r="H73" s="28"/>
      <c r="I73" s="40" t="s">
        <v>27</v>
      </c>
      <c r="J73" s="13"/>
      <c r="K73" s="11">
        <f>SUM(C73:F73)*35</f>
        <v>0</v>
      </c>
      <c r="L73" s="11">
        <f t="shared" si="3"/>
        <v>0</v>
      </c>
    </row>
    <row r="74" spans="2:12" s="1" customFormat="1" ht="15" customHeight="1" x14ac:dyDescent="0.25">
      <c r="B74" s="40" t="s">
        <v>165</v>
      </c>
      <c r="C74" s="21"/>
      <c r="D74" s="21"/>
      <c r="E74" s="21">
        <f>SUM(H68)</f>
        <v>0</v>
      </c>
      <c r="F74" s="21"/>
      <c r="G74" s="11"/>
      <c r="H74" s="28"/>
      <c r="I74" s="38" t="s">
        <v>237</v>
      </c>
      <c r="J74" s="13"/>
      <c r="K74" s="11">
        <f>SUM(C74:F74)*220</f>
        <v>0</v>
      </c>
      <c r="L74" s="11">
        <f t="shared" si="3"/>
        <v>0</v>
      </c>
    </row>
    <row r="75" spans="2:12" s="1" customFormat="1" ht="15" customHeight="1" x14ac:dyDescent="0.25">
      <c r="B75" s="40" t="s">
        <v>77</v>
      </c>
      <c r="C75" s="21">
        <f>SUM(H68)</f>
        <v>0</v>
      </c>
      <c r="D75" s="21"/>
      <c r="E75" s="21"/>
      <c r="F75" s="21"/>
      <c r="G75" s="11"/>
      <c r="H75" s="28"/>
      <c r="I75" s="38" t="s">
        <v>78</v>
      </c>
      <c r="J75" s="13"/>
      <c r="K75" s="11">
        <f>SUM(C75:F75)*350</f>
        <v>0</v>
      </c>
      <c r="L75" s="11">
        <f t="shared" si="3"/>
        <v>0</v>
      </c>
    </row>
    <row r="76" spans="2:12" s="1" customFormat="1" ht="15" customHeight="1" thickBot="1" x14ac:dyDescent="0.3">
      <c r="B76" s="40"/>
      <c r="C76" s="21"/>
      <c r="D76" s="21"/>
      <c r="E76" s="21"/>
      <c r="F76" s="21"/>
      <c r="G76" s="11"/>
      <c r="H76" s="28"/>
      <c r="I76" s="38"/>
      <c r="J76" s="13"/>
      <c r="K76" s="11"/>
      <c r="L76" s="11"/>
    </row>
    <row r="77" spans="2:12" s="1" customFormat="1" ht="15" customHeight="1" thickBot="1" x14ac:dyDescent="0.3">
      <c r="B77" s="38" t="s">
        <v>47</v>
      </c>
      <c r="C77" s="21"/>
      <c r="D77" s="21"/>
      <c r="E77" s="21"/>
      <c r="F77" s="21"/>
      <c r="G77" s="39" t="s">
        <v>10</v>
      </c>
      <c r="H77" s="25"/>
      <c r="I77" s="42"/>
      <c r="J77" s="13">
        <f>SUM(150*H77)</f>
        <v>0</v>
      </c>
      <c r="K77" s="11"/>
      <c r="L77" s="11"/>
    </row>
    <row r="78" spans="2:12" s="1" customFormat="1" ht="15" customHeight="1" x14ac:dyDescent="0.25">
      <c r="B78" s="40" t="s">
        <v>79</v>
      </c>
      <c r="C78" s="21"/>
      <c r="D78" s="21"/>
      <c r="E78" s="21">
        <f>SUM(H77)</f>
        <v>0</v>
      </c>
      <c r="F78" s="21"/>
      <c r="G78" s="17"/>
      <c r="H78" s="28"/>
      <c r="I78" s="40" t="s">
        <v>18</v>
      </c>
      <c r="J78" s="13"/>
      <c r="K78" s="11"/>
      <c r="L78" s="11">
        <f>SUM(C78:F78)*50</f>
        <v>0</v>
      </c>
    </row>
    <row r="79" spans="2:12" s="1" customFormat="1" ht="15" customHeight="1" thickBot="1" x14ac:dyDescent="0.3">
      <c r="B79" s="40"/>
      <c r="C79" s="21"/>
      <c r="D79" s="21"/>
      <c r="E79" s="21"/>
      <c r="F79" s="21"/>
      <c r="G79" s="11"/>
      <c r="H79" s="28"/>
      <c r="I79" s="40"/>
      <c r="J79" s="13"/>
      <c r="K79" s="11"/>
      <c r="L79" s="11"/>
    </row>
    <row r="80" spans="2:12" s="1" customFormat="1" ht="15" customHeight="1" thickBot="1" x14ac:dyDescent="0.3">
      <c r="B80" s="38" t="s">
        <v>44</v>
      </c>
      <c r="C80" s="19"/>
      <c r="D80" s="19"/>
      <c r="E80" s="19"/>
      <c r="F80" s="19"/>
      <c r="G80" s="11"/>
      <c r="H80" s="23">
        <v>1</v>
      </c>
      <c r="I80" s="40"/>
      <c r="J80" s="13"/>
      <c r="K80" s="11"/>
      <c r="L80" s="11"/>
    </row>
    <row r="81" spans="2:13" s="1" customFormat="1" ht="15" customHeight="1" x14ac:dyDescent="0.25">
      <c r="B81" s="40" t="s">
        <v>173</v>
      </c>
      <c r="C81" s="21"/>
      <c r="D81" s="21"/>
      <c r="E81" s="21">
        <f>SUM(H80)</f>
        <v>1</v>
      </c>
      <c r="F81" s="21"/>
      <c r="G81" s="11"/>
      <c r="H81" s="28"/>
      <c r="I81" s="42" t="s">
        <v>23</v>
      </c>
      <c r="J81" s="13"/>
      <c r="K81" s="11">
        <f t="shared" ref="K81:K86" si="4">SUM(C81:F81)*55</f>
        <v>55</v>
      </c>
      <c r="L81" s="11">
        <f t="shared" ref="L81:L89" si="5">SUM(C81:F81)*50</f>
        <v>50</v>
      </c>
    </row>
    <row r="82" spans="2:13" s="1" customFormat="1" ht="15" customHeight="1" x14ac:dyDescent="0.25">
      <c r="B82" s="40" t="s">
        <v>80</v>
      </c>
      <c r="C82" s="21"/>
      <c r="D82" s="21"/>
      <c r="E82" s="21">
        <f>SUM(H80)</f>
        <v>1</v>
      </c>
      <c r="F82" s="21"/>
      <c r="G82" s="11"/>
      <c r="H82" s="28"/>
      <c r="I82" s="42" t="s">
        <v>23</v>
      </c>
      <c r="J82" s="13"/>
      <c r="K82" s="11">
        <f t="shared" si="4"/>
        <v>55</v>
      </c>
      <c r="L82" s="11">
        <f t="shared" si="5"/>
        <v>50</v>
      </c>
    </row>
    <row r="83" spans="2:13" s="1" customFormat="1" ht="15" customHeight="1" x14ac:dyDescent="0.25">
      <c r="B83" s="40" t="s">
        <v>81</v>
      </c>
      <c r="C83" s="21"/>
      <c r="D83" s="21"/>
      <c r="E83" s="21">
        <f>SUM(H80)</f>
        <v>1</v>
      </c>
      <c r="F83" s="21"/>
      <c r="G83" s="11"/>
      <c r="H83" s="28"/>
      <c r="I83" s="40" t="s">
        <v>23</v>
      </c>
      <c r="J83" s="13"/>
      <c r="K83" s="11">
        <f t="shared" si="4"/>
        <v>55</v>
      </c>
      <c r="L83" s="11">
        <f t="shared" si="5"/>
        <v>50</v>
      </c>
    </row>
    <row r="84" spans="2:13" s="1" customFormat="1" ht="15" customHeight="1" x14ac:dyDescent="0.25">
      <c r="B84" s="42" t="s">
        <v>174</v>
      </c>
      <c r="C84" s="19"/>
      <c r="D84" s="19"/>
      <c r="E84" s="19">
        <f>SUM(H80)</f>
        <v>1</v>
      </c>
      <c r="F84" s="19"/>
      <c r="G84" s="11"/>
      <c r="H84" s="28"/>
      <c r="I84" s="40" t="s">
        <v>23</v>
      </c>
      <c r="J84" s="13"/>
      <c r="K84" s="11">
        <f t="shared" si="4"/>
        <v>55</v>
      </c>
      <c r="L84" s="11">
        <f t="shared" si="5"/>
        <v>50</v>
      </c>
    </row>
    <row r="85" spans="2:13" s="1" customFormat="1" ht="15" customHeight="1" x14ac:dyDescent="0.25">
      <c r="B85" s="42" t="s">
        <v>82</v>
      </c>
      <c r="C85" s="19"/>
      <c r="D85" s="21"/>
      <c r="E85" s="21">
        <f>SUM(H80)</f>
        <v>1</v>
      </c>
      <c r="F85" s="21"/>
      <c r="G85" s="11"/>
      <c r="H85" s="28"/>
      <c r="I85" s="40" t="s">
        <v>23</v>
      </c>
      <c r="J85" s="13"/>
      <c r="K85" s="11">
        <f t="shared" si="4"/>
        <v>55</v>
      </c>
      <c r="L85" s="11">
        <f t="shared" si="5"/>
        <v>50</v>
      </c>
    </row>
    <row r="86" spans="2:13" s="1" customFormat="1" ht="15" customHeight="1" x14ac:dyDescent="0.25">
      <c r="B86" s="42" t="s">
        <v>83</v>
      </c>
      <c r="C86" s="19"/>
      <c r="D86" s="19"/>
      <c r="E86" s="19">
        <f>SUM(H80)</f>
        <v>1</v>
      </c>
      <c r="F86" s="19"/>
      <c r="G86" s="11"/>
      <c r="H86" s="28"/>
      <c r="I86" s="40" t="s">
        <v>23</v>
      </c>
      <c r="J86" s="13"/>
      <c r="K86" s="11">
        <f t="shared" si="4"/>
        <v>55</v>
      </c>
      <c r="L86" s="11">
        <f t="shared" si="5"/>
        <v>50</v>
      </c>
      <c r="M86" s="1">
        <f>SUM(K81:K88)</f>
        <v>585</v>
      </c>
    </row>
    <row r="87" spans="2:13" s="1" customFormat="1" ht="15" customHeight="1" x14ac:dyDescent="0.25">
      <c r="B87" s="40" t="s">
        <v>84</v>
      </c>
      <c r="C87" s="21">
        <f>SUM(H80)</f>
        <v>1</v>
      </c>
      <c r="D87" s="21"/>
      <c r="E87" s="21"/>
      <c r="F87" s="21"/>
      <c r="G87" s="11"/>
      <c r="H87" s="28"/>
      <c r="I87" s="40" t="s">
        <v>27</v>
      </c>
      <c r="J87" s="13"/>
      <c r="K87" s="11">
        <f>SUM(C87:F87)*35</f>
        <v>35</v>
      </c>
      <c r="L87" s="11">
        <f t="shared" si="5"/>
        <v>50</v>
      </c>
    </row>
    <row r="88" spans="2:13" s="1" customFormat="1" ht="15" customHeight="1" x14ac:dyDescent="0.25">
      <c r="B88" s="40" t="s">
        <v>165</v>
      </c>
      <c r="C88" s="21"/>
      <c r="D88" s="21"/>
      <c r="E88" s="21">
        <f>SUM(H80)</f>
        <v>1</v>
      </c>
      <c r="F88" s="21"/>
      <c r="G88" s="11"/>
      <c r="H88" s="28"/>
      <c r="I88" s="38" t="s">
        <v>237</v>
      </c>
      <c r="J88" s="13"/>
      <c r="K88" s="11">
        <f>SUM(C88:F88)*220</f>
        <v>220</v>
      </c>
      <c r="L88" s="11">
        <f t="shared" si="5"/>
        <v>50</v>
      </c>
    </row>
    <row r="89" spans="2:13" s="1" customFormat="1" ht="15" customHeight="1" x14ac:dyDescent="0.25">
      <c r="B89" s="40" t="s">
        <v>77</v>
      </c>
      <c r="C89" s="21">
        <f>SUM(H80)</f>
        <v>1</v>
      </c>
      <c r="D89" s="21"/>
      <c r="E89" s="21"/>
      <c r="F89" s="21"/>
      <c r="G89" s="11"/>
      <c r="H89" s="28"/>
      <c r="I89" s="38" t="s">
        <v>78</v>
      </c>
      <c r="J89" s="13"/>
      <c r="K89" s="11">
        <f>SUM(C89:F89)*350</f>
        <v>350</v>
      </c>
      <c r="L89" s="11">
        <f t="shared" si="5"/>
        <v>50</v>
      </c>
    </row>
    <row r="90" spans="2:13" s="1" customFormat="1" ht="15" customHeight="1" thickBot="1" x14ac:dyDescent="0.3">
      <c r="B90" s="40"/>
      <c r="C90" s="21"/>
      <c r="D90" s="21"/>
      <c r="E90" s="21"/>
      <c r="F90" s="21"/>
      <c r="G90" s="11"/>
      <c r="H90" s="28"/>
      <c r="I90" s="38"/>
      <c r="J90" s="13"/>
      <c r="K90" s="11"/>
      <c r="L90" s="11"/>
    </row>
    <row r="91" spans="2:13" s="1" customFormat="1" ht="15" customHeight="1" thickBot="1" x14ac:dyDescent="0.3">
      <c r="B91" s="38" t="s">
        <v>45</v>
      </c>
      <c r="C91" s="21"/>
      <c r="D91" s="21"/>
      <c r="E91" s="21"/>
      <c r="F91" s="21"/>
      <c r="G91" s="39" t="s">
        <v>10</v>
      </c>
      <c r="H91" s="25"/>
      <c r="I91" s="42"/>
      <c r="J91" s="13">
        <f>SUM(150*H91)</f>
        <v>0</v>
      </c>
      <c r="K91" s="11"/>
      <c r="L91" s="11"/>
    </row>
    <row r="92" spans="2:13" s="1" customFormat="1" ht="15" customHeight="1" x14ac:dyDescent="0.25">
      <c r="B92" s="42" t="s">
        <v>85</v>
      </c>
      <c r="C92" s="19"/>
      <c r="D92" s="19"/>
      <c r="E92" s="19">
        <f>SUM(H91)</f>
        <v>0</v>
      </c>
      <c r="F92" s="19"/>
      <c r="G92" s="11"/>
      <c r="H92" s="28"/>
      <c r="I92" s="40" t="s">
        <v>18</v>
      </c>
      <c r="J92" s="13"/>
      <c r="K92" s="11"/>
      <c r="L92" s="11">
        <f>SUM(C92:F92)*50</f>
        <v>0</v>
      </c>
    </row>
    <row r="93" spans="2:13" s="1" customFormat="1" ht="15" customHeight="1" thickBot="1" x14ac:dyDescent="0.3">
      <c r="B93" s="42"/>
      <c r="C93" s="19"/>
      <c r="D93" s="19"/>
      <c r="E93" s="19"/>
      <c r="F93" s="19"/>
      <c r="G93" s="11"/>
      <c r="H93" s="28"/>
      <c r="I93" s="40"/>
      <c r="J93" s="13"/>
      <c r="K93" s="11"/>
      <c r="L93" s="11"/>
    </row>
    <row r="94" spans="2:13" s="1" customFormat="1" ht="15" customHeight="1" thickBot="1" x14ac:dyDescent="0.3">
      <c r="B94" s="38" t="s">
        <v>86</v>
      </c>
      <c r="C94" s="21"/>
      <c r="D94" s="21"/>
      <c r="E94" s="21"/>
      <c r="F94" s="21"/>
      <c r="G94" s="39" t="s">
        <v>10</v>
      </c>
      <c r="H94" s="25"/>
      <c r="I94" s="42"/>
      <c r="J94" s="13">
        <f>SUM(150*H94)</f>
        <v>0</v>
      </c>
      <c r="K94" s="11"/>
      <c r="L94" s="11"/>
    </row>
    <row r="95" spans="2:13" s="1" customFormat="1" ht="15" customHeight="1" x14ac:dyDescent="0.25">
      <c r="B95" s="42" t="s">
        <v>87</v>
      </c>
      <c r="C95" s="19"/>
      <c r="D95" s="19"/>
      <c r="E95" s="19">
        <f>SUM(H94)</f>
        <v>0</v>
      </c>
      <c r="F95" s="19"/>
      <c r="G95" s="11"/>
      <c r="H95" s="28"/>
      <c r="I95" s="40" t="s">
        <v>18</v>
      </c>
      <c r="J95" s="13"/>
      <c r="K95" s="11"/>
      <c r="L95" s="11">
        <f>SUM(C95:F95)*50</f>
        <v>0</v>
      </c>
    </row>
    <row r="96" spans="2:13" s="1" customFormat="1" ht="15" customHeight="1" thickBot="1" x14ac:dyDescent="0.3">
      <c r="B96" s="42"/>
      <c r="C96" s="19"/>
      <c r="D96" s="19"/>
      <c r="E96" s="19"/>
      <c r="F96" s="19"/>
      <c r="G96" s="11"/>
      <c r="H96" s="28"/>
      <c r="I96" s="40"/>
      <c r="J96" s="13"/>
      <c r="K96" s="11"/>
      <c r="L96" s="11"/>
    </row>
    <row r="97" spans="2:13" s="1" customFormat="1" ht="15" customHeight="1" thickBot="1" x14ac:dyDescent="0.3">
      <c r="B97" s="38" t="s">
        <v>88</v>
      </c>
      <c r="C97" s="21"/>
      <c r="D97" s="21"/>
      <c r="E97" s="21"/>
      <c r="F97" s="21"/>
      <c r="G97" s="11"/>
      <c r="H97" s="23"/>
      <c r="I97" s="40"/>
      <c r="J97" s="13"/>
      <c r="K97" s="11"/>
      <c r="L97" s="11"/>
    </row>
    <row r="98" spans="2:13" s="1" customFormat="1" ht="15" customHeight="1" x14ac:dyDescent="0.25">
      <c r="B98" s="40" t="s">
        <v>89</v>
      </c>
      <c r="C98" s="21"/>
      <c r="D98" s="21"/>
      <c r="E98" s="21">
        <f>SUM(H97)</f>
        <v>0</v>
      </c>
      <c r="F98" s="21"/>
      <c r="G98" s="11"/>
      <c r="H98" s="28"/>
      <c r="I98" s="40" t="s">
        <v>23</v>
      </c>
      <c r="J98" s="13"/>
      <c r="K98" s="11">
        <f>SUM(C98:F98)*55</f>
        <v>0</v>
      </c>
      <c r="L98" s="11">
        <f t="shared" ref="L98:L103" si="6">SUM(C98:F98)*50</f>
        <v>0</v>
      </c>
    </row>
    <row r="99" spans="2:13" s="1" customFormat="1" ht="15" customHeight="1" x14ac:dyDescent="0.25">
      <c r="B99" s="40" t="s">
        <v>90</v>
      </c>
      <c r="C99" s="21"/>
      <c r="D99" s="21"/>
      <c r="E99" s="21">
        <f>SUM(H97)</f>
        <v>0</v>
      </c>
      <c r="F99" s="21"/>
      <c r="G99" s="11"/>
      <c r="H99" s="28"/>
      <c r="I99" s="40" t="s">
        <v>23</v>
      </c>
      <c r="J99" s="13"/>
      <c r="K99" s="11">
        <f>SUM(C99:F99)*55</f>
        <v>0</v>
      </c>
      <c r="L99" s="11">
        <f t="shared" si="6"/>
        <v>0</v>
      </c>
    </row>
    <row r="100" spans="2:13" ht="15" customHeight="1" x14ac:dyDescent="0.25">
      <c r="B100" s="42" t="s">
        <v>91</v>
      </c>
      <c r="C100" s="19"/>
      <c r="D100" s="19"/>
      <c r="E100" s="19">
        <f>SUM(H97)</f>
        <v>0</v>
      </c>
      <c r="F100" s="19"/>
      <c r="G100" s="11"/>
      <c r="H100" s="28"/>
      <c r="I100" s="40" t="s">
        <v>23</v>
      </c>
      <c r="J100" s="13"/>
      <c r="K100" s="11">
        <f>SUM(C100:F100)*55</f>
        <v>0</v>
      </c>
      <c r="L100" s="11">
        <f t="shared" si="6"/>
        <v>0</v>
      </c>
      <c r="M100" s="1"/>
    </row>
    <row r="101" spans="2:13" ht="15" customHeight="1" x14ac:dyDescent="0.25">
      <c r="B101" s="40" t="s">
        <v>92</v>
      </c>
      <c r="C101" s="21"/>
      <c r="D101" s="21"/>
      <c r="E101" s="21">
        <f>SUM(H97)</f>
        <v>0</v>
      </c>
      <c r="F101" s="21"/>
      <c r="G101" s="11"/>
      <c r="H101" s="28"/>
      <c r="I101" s="40" t="s">
        <v>23</v>
      </c>
      <c r="K101" s="11">
        <f>SUM(C101:F101)*55</f>
        <v>0</v>
      </c>
      <c r="L101" s="11">
        <f t="shared" si="6"/>
        <v>0</v>
      </c>
    </row>
    <row r="102" spans="2:13" s="1" customFormat="1" ht="15" customHeight="1" x14ac:dyDescent="0.25">
      <c r="B102" s="40" t="s">
        <v>93</v>
      </c>
      <c r="C102" s="21">
        <f>SUM(H97)</f>
        <v>0</v>
      </c>
      <c r="D102" s="21"/>
      <c r="E102" s="21"/>
      <c r="F102" s="21"/>
      <c r="G102" s="11"/>
      <c r="H102" s="28"/>
      <c r="I102" s="40" t="s">
        <v>27</v>
      </c>
      <c r="J102" s="10"/>
      <c r="K102" s="11">
        <f>SUM(C102:F102)*35</f>
        <v>0</v>
      </c>
      <c r="L102" s="11">
        <f t="shared" si="6"/>
        <v>0</v>
      </c>
      <c r="M102" s="2"/>
    </row>
    <row r="103" spans="2:13" ht="15" customHeight="1" x14ac:dyDescent="0.25">
      <c r="B103" s="40" t="s">
        <v>77</v>
      </c>
      <c r="C103" s="21">
        <f>SUM(H97)</f>
        <v>0</v>
      </c>
      <c r="D103" s="21"/>
      <c r="E103" s="21"/>
      <c r="F103" s="21"/>
      <c r="G103" s="11"/>
      <c r="H103" s="28"/>
      <c r="I103" s="38" t="s">
        <v>78</v>
      </c>
      <c r="J103" s="13"/>
      <c r="K103" s="11">
        <f>SUM(C103:F103)*350</f>
        <v>0</v>
      </c>
      <c r="L103" s="11">
        <f t="shared" si="6"/>
        <v>0</v>
      </c>
      <c r="M103" s="1"/>
    </row>
    <row r="104" spans="2:13" ht="15" customHeight="1" thickBot="1" x14ac:dyDescent="0.3">
      <c r="B104" s="40"/>
      <c r="C104" s="21"/>
      <c r="D104" s="21"/>
      <c r="E104" s="21"/>
      <c r="F104" s="21"/>
      <c r="G104" s="11"/>
      <c r="H104" s="28"/>
      <c r="I104" s="38"/>
      <c r="K104" s="11"/>
      <c r="L104" s="11"/>
    </row>
    <row r="105" spans="2:13" ht="15" customHeight="1" thickBot="1" x14ac:dyDescent="0.3">
      <c r="B105" s="38" t="s">
        <v>94</v>
      </c>
      <c r="C105" s="21"/>
      <c r="D105" s="21"/>
      <c r="E105" s="21"/>
      <c r="F105" s="21"/>
      <c r="G105" s="39" t="s">
        <v>10</v>
      </c>
      <c r="H105" s="25"/>
      <c r="I105" s="42"/>
      <c r="J105" s="10">
        <f>SUM(150*H105)</f>
        <v>0</v>
      </c>
      <c r="K105" s="11"/>
      <c r="L105" s="11"/>
    </row>
    <row r="106" spans="2:13" ht="15" customHeight="1" x14ac:dyDescent="0.25">
      <c r="B106" s="40" t="s">
        <v>95</v>
      </c>
      <c r="C106" s="19"/>
      <c r="D106" s="19"/>
      <c r="E106" s="19">
        <f>SUM(H105)</f>
        <v>0</v>
      </c>
      <c r="F106" s="19"/>
      <c r="G106" s="11"/>
      <c r="H106" s="28"/>
      <c r="I106" s="40" t="s">
        <v>18</v>
      </c>
      <c r="K106" s="11"/>
      <c r="L106" s="11">
        <f>SUM(C106:F106)*50</f>
        <v>0</v>
      </c>
    </row>
    <row r="107" spans="2:13" ht="15" customHeight="1" thickBot="1" x14ac:dyDescent="0.3">
      <c r="B107" s="40"/>
      <c r="C107" s="19"/>
      <c r="D107" s="19"/>
      <c r="E107" s="19"/>
      <c r="F107" s="19"/>
      <c r="G107" s="11"/>
      <c r="H107" s="28"/>
      <c r="I107" s="40"/>
      <c r="K107" s="11"/>
      <c r="L107" s="11"/>
    </row>
    <row r="108" spans="2:13" ht="15" customHeight="1" thickBot="1" x14ac:dyDescent="0.3">
      <c r="B108" s="38" t="s">
        <v>96</v>
      </c>
      <c r="C108" s="19"/>
      <c r="D108" s="19"/>
      <c r="E108" s="19"/>
      <c r="F108" s="19"/>
      <c r="G108" s="11"/>
      <c r="H108" s="23"/>
      <c r="I108" s="40"/>
      <c r="K108" s="11"/>
      <c r="L108" s="11"/>
    </row>
    <row r="109" spans="2:13" ht="15" customHeight="1" x14ac:dyDescent="0.25">
      <c r="B109" s="40" t="s">
        <v>97</v>
      </c>
      <c r="C109" s="21"/>
      <c r="D109" s="21"/>
      <c r="E109" s="21">
        <f>SUM(H108)</f>
        <v>0</v>
      </c>
      <c r="F109" s="21"/>
      <c r="G109" s="11"/>
      <c r="H109" s="28"/>
      <c r="I109" s="42" t="s">
        <v>23</v>
      </c>
      <c r="K109" s="11">
        <f>SUM(C109:F109)*55</f>
        <v>0</v>
      </c>
      <c r="L109" s="11">
        <f t="shared" ref="L109:L115" si="7">SUM(C109:F109)*50</f>
        <v>0</v>
      </c>
    </row>
    <row r="110" spans="2:13" ht="15" customHeight="1" x14ac:dyDescent="0.25">
      <c r="B110" s="40" t="s">
        <v>98</v>
      </c>
      <c r="C110" s="21"/>
      <c r="D110" s="21"/>
      <c r="E110" s="21">
        <f>SUM(H108)</f>
        <v>0</v>
      </c>
      <c r="F110" s="21"/>
      <c r="G110" s="11"/>
      <c r="H110" s="28"/>
      <c r="I110" s="40" t="s">
        <v>23</v>
      </c>
      <c r="K110" s="11">
        <f>SUM(C110:F110)*55</f>
        <v>0</v>
      </c>
      <c r="L110" s="11">
        <f t="shared" si="7"/>
        <v>0</v>
      </c>
    </row>
    <row r="111" spans="2:13" ht="15" customHeight="1" x14ac:dyDescent="0.25">
      <c r="B111" s="42" t="s">
        <v>99</v>
      </c>
      <c r="C111" s="19"/>
      <c r="D111" s="21"/>
      <c r="E111" s="21">
        <f>SUM(H108)</f>
        <v>0</v>
      </c>
      <c r="F111" s="21"/>
      <c r="G111" s="11"/>
      <c r="H111" s="28"/>
      <c r="I111" s="40" t="s">
        <v>23</v>
      </c>
      <c r="K111" s="11">
        <f>SUM(C111:F111)*55</f>
        <v>0</v>
      </c>
      <c r="L111" s="11">
        <f t="shared" si="7"/>
        <v>0</v>
      </c>
    </row>
    <row r="112" spans="2:13" ht="15" customHeight="1" x14ac:dyDescent="0.25">
      <c r="B112" s="42" t="s">
        <v>100</v>
      </c>
      <c r="C112" s="19"/>
      <c r="D112" s="19"/>
      <c r="E112" s="19">
        <f>SUM(H108)</f>
        <v>0</v>
      </c>
      <c r="F112" s="19"/>
      <c r="G112" s="11"/>
      <c r="H112" s="28"/>
      <c r="I112" s="40" t="s">
        <v>23</v>
      </c>
      <c r="K112" s="11">
        <f>SUM(C112:F112)*55</f>
        <v>0</v>
      </c>
      <c r="L112" s="11">
        <f t="shared" si="7"/>
        <v>0</v>
      </c>
    </row>
    <row r="113" spans="2:13" s="1" customFormat="1" ht="15" customHeight="1" x14ac:dyDescent="0.25">
      <c r="B113" s="40" t="s">
        <v>101</v>
      </c>
      <c r="C113" s="21">
        <f>SUM(H108)</f>
        <v>0</v>
      </c>
      <c r="D113" s="21"/>
      <c r="E113" s="21"/>
      <c r="F113" s="21"/>
      <c r="G113" s="11"/>
      <c r="H113" s="28"/>
      <c r="I113" s="40" t="s">
        <v>27</v>
      </c>
      <c r="J113" s="10"/>
      <c r="K113" s="11">
        <f>SUM(C113:F113)*35</f>
        <v>0</v>
      </c>
      <c r="L113" s="11">
        <f t="shared" si="7"/>
        <v>0</v>
      </c>
      <c r="M113" s="2"/>
    </row>
    <row r="114" spans="2:13" s="1" customFormat="1" ht="15" customHeight="1" x14ac:dyDescent="0.25">
      <c r="B114" s="40" t="s">
        <v>165</v>
      </c>
      <c r="C114" s="21"/>
      <c r="D114" s="21"/>
      <c r="E114" s="21">
        <f>SUM(H108)</f>
        <v>0</v>
      </c>
      <c r="F114" s="21"/>
      <c r="G114" s="11"/>
      <c r="H114" s="28"/>
      <c r="I114" s="38" t="s">
        <v>237</v>
      </c>
      <c r="J114" s="13"/>
      <c r="K114" s="11">
        <f>SUM(C114:F114)*220</f>
        <v>0</v>
      </c>
      <c r="L114" s="11">
        <f t="shared" si="7"/>
        <v>0</v>
      </c>
    </row>
    <row r="115" spans="2:13" ht="15" customHeight="1" x14ac:dyDescent="0.25">
      <c r="B115" s="40" t="s">
        <v>77</v>
      </c>
      <c r="C115" s="21">
        <f>SUM(H108)</f>
        <v>0</v>
      </c>
      <c r="D115" s="21"/>
      <c r="E115" s="21"/>
      <c r="F115" s="21"/>
      <c r="G115" s="11"/>
      <c r="H115" s="28"/>
      <c r="I115" s="38" t="s">
        <v>78</v>
      </c>
      <c r="J115" s="13"/>
      <c r="K115" s="11">
        <f>SUM(C115:F115)*350</f>
        <v>0</v>
      </c>
      <c r="L115" s="11">
        <f t="shared" si="7"/>
        <v>0</v>
      </c>
      <c r="M115" s="1"/>
    </row>
    <row r="116" spans="2:13" ht="15" customHeight="1" thickBot="1" x14ac:dyDescent="0.3">
      <c r="B116" s="40"/>
      <c r="C116" s="21"/>
      <c r="D116" s="21"/>
      <c r="E116" s="21"/>
      <c r="F116" s="21"/>
      <c r="G116" s="11"/>
      <c r="H116" s="28"/>
      <c r="I116" s="38"/>
      <c r="K116" s="11"/>
      <c r="L116" s="11"/>
    </row>
    <row r="117" spans="2:13" ht="15" customHeight="1" thickBot="1" x14ac:dyDescent="0.3">
      <c r="B117" s="38" t="s">
        <v>102</v>
      </c>
      <c r="C117" s="21"/>
      <c r="D117" s="21"/>
      <c r="E117" s="21"/>
      <c r="F117" s="21"/>
      <c r="G117" s="39" t="s">
        <v>10</v>
      </c>
      <c r="H117" s="25"/>
      <c r="I117" s="42"/>
      <c r="J117" s="10">
        <f>SUM(150*H117)</f>
        <v>0</v>
      </c>
      <c r="K117" s="11"/>
      <c r="L117" s="11"/>
    </row>
    <row r="118" spans="2:13" ht="15" customHeight="1" x14ac:dyDescent="0.25">
      <c r="B118" s="42" t="s">
        <v>103</v>
      </c>
      <c r="C118" s="19"/>
      <c r="D118" s="19"/>
      <c r="E118" s="19">
        <f>SUM(H117)</f>
        <v>0</v>
      </c>
      <c r="F118" s="19"/>
      <c r="G118" s="11"/>
      <c r="H118" s="28"/>
      <c r="I118" s="40" t="s">
        <v>18</v>
      </c>
      <c r="K118" s="11"/>
      <c r="L118" s="11">
        <f>SUM(C118:F118)*50</f>
        <v>0</v>
      </c>
    </row>
    <row r="119" spans="2:13" ht="15" customHeight="1" thickBot="1" x14ac:dyDescent="0.3">
      <c r="B119" s="42"/>
      <c r="C119" s="19"/>
      <c r="D119" s="19"/>
      <c r="E119" s="19"/>
      <c r="F119" s="19"/>
      <c r="G119" s="11"/>
      <c r="H119" s="28"/>
      <c r="I119" s="40"/>
      <c r="K119" s="11"/>
      <c r="L119" s="11"/>
    </row>
    <row r="120" spans="2:13" ht="15" customHeight="1" thickBot="1" x14ac:dyDescent="0.3">
      <c r="B120" s="38" t="s">
        <v>104</v>
      </c>
      <c r="C120" s="21"/>
      <c r="D120" s="21"/>
      <c r="E120" s="21"/>
      <c r="F120" s="21"/>
      <c r="G120" s="39" t="s">
        <v>10</v>
      </c>
      <c r="H120" s="25"/>
      <c r="I120" s="42"/>
      <c r="J120" s="10">
        <f>SUM(150*H120)</f>
        <v>0</v>
      </c>
      <c r="K120" s="11"/>
      <c r="L120" s="11"/>
    </row>
    <row r="121" spans="2:13" ht="15" customHeight="1" x14ac:dyDescent="0.25">
      <c r="B121" s="42" t="s">
        <v>105</v>
      </c>
      <c r="C121" s="19"/>
      <c r="D121" s="19"/>
      <c r="E121" s="19">
        <f>SUM(H120)</f>
        <v>0</v>
      </c>
      <c r="F121" s="19"/>
      <c r="G121" s="11"/>
      <c r="H121" s="28"/>
      <c r="I121" s="40" t="s">
        <v>18</v>
      </c>
      <c r="K121" s="11"/>
      <c r="L121" s="11">
        <f>SUM(C121:F121)*50</f>
        <v>0</v>
      </c>
    </row>
    <row r="122" spans="2:13" ht="15" customHeight="1" x14ac:dyDescent="0.25">
      <c r="B122" s="42" t="s">
        <v>7</v>
      </c>
      <c r="C122" s="19">
        <f>SUM(H120)</f>
        <v>0</v>
      </c>
      <c r="D122" s="19"/>
      <c r="E122" s="19"/>
      <c r="F122" s="19"/>
      <c r="G122" s="11"/>
      <c r="H122" s="28"/>
      <c r="I122" s="40" t="s">
        <v>1</v>
      </c>
      <c r="K122" s="11">
        <f>SUM(C122:F122)*240</f>
        <v>0</v>
      </c>
      <c r="L122" s="11">
        <f>SUM(C122:F122)*50</f>
        <v>0</v>
      </c>
    </row>
    <row r="123" spans="2:13" ht="15" customHeight="1" x14ac:dyDescent="0.25">
      <c r="B123" s="42"/>
      <c r="C123" s="19"/>
      <c r="D123" s="19"/>
      <c r="E123" s="19"/>
      <c r="F123" s="19"/>
      <c r="G123" s="11"/>
      <c r="H123" s="28"/>
      <c r="I123" s="40"/>
      <c r="K123" s="11"/>
      <c r="L123" s="11"/>
    </row>
    <row r="124" spans="2:13" ht="15" customHeight="1" thickBot="1" x14ac:dyDescent="0.3">
      <c r="B124" s="38" t="s">
        <v>284</v>
      </c>
      <c r="C124" s="21"/>
      <c r="D124" s="21"/>
      <c r="E124" s="21"/>
      <c r="F124" s="21"/>
      <c r="G124" s="11"/>
      <c r="H124" s="28"/>
      <c r="I124" s="40"/>
      <c r="K124" s="11"/>
      <c r="L124" s="11"/>
    </row>
    <row r="125" spans="2:13" ht="15" customHeight="1" thickBot="1" x14ac:dyDescent="0.3">
      <c r="B125" s="40" t="s">
        <v>188</v>
      </c>
      <c r="C125" s="21"/>
      <c r="D125" s="21"/>
      <c r="E125" s="21"/>
      <c r="F125" s="21"/>
      <c r="G125" s="17" t="s">
        <v>28</v>
      </c>
      <c r="H125" s="23"/>
      <c r="I125" s="40" t="s">
        <v>238</v>
      </c>
      <c r="K125" s="11"/>
      <c r="L125" s="11"/>
    </row>
    <row r="126" spans="2:13" ht="15" customHeight="1" x14ac:dyDescent="0.25">
      <c r="B126" s="40" t="s">
        <v>189</v>
      </c>
      <c r="C126" s="21"/>
      <c r="D126" s="21"/>
      <c r="E126" s="21">
        <f>SUM(H125)</f>
        <v>0</v>
      </c>
      <c r="F126" s="21">
        <f>SUM(H125)</f>
        <v>0</v>
      </c>
      <c r="G126" s="11"/>
      <c r="H126" s="28"/>
      <c r="I126" s="40" t="s">
        <v>18</v>
      </c>
      <c r="K126" s="11"/>
      <c r="L126" s="11">
        <f>SUM(C126:F126)*50</f>
        <v>0</v>
      </c>
    </row>
    <row r="127" spans="2:13" ht="15" customHeight="1" x14ac:dyDescent="0.25">
      <c r="B127" s="42" t="s">
        <v>48</v>
      </c>
      <c r="C127" s="19"/>
      <c r="D127" s="19"/>
      <c r="E127" s="19">
        <f>SUM(H125)</f>
        <v>0</v>
      </c>
      <c r="F127" s="19"/>
      <c r="G127" s="11"/>
      <c r="H127" s="28"/>
      <c r="I127" s="40" t="s">
        <v>22</v>
      </c>
      <c r="K127" s="11">
        <f>SUM(C127:F127)*65</f>
        <v>0</v>
      </c>
      <c r="L127" s="11">
        <f>SUM(C127:F127)*50</f>
        <v>0</v>
      </c>
    </row>
    <row r="128" spans="2:13" ht="15" customHeight="1" x14ac:dyDescent="0.25">
      <c r="B128" s="42" t="s">
        <v>49</v>
      </c>
      <c r="C128" s="19">
        <f>SUM(H125)</f>
        <v>0</v>
      </c>
      <c r="D128" s="19"/>
      <c r="E128" s="19"/>
      <c r="F128" s="19"/>
      <c r="G128" s="11"/>
      <c r="H128" s="28"/>
      <c r="I128" s="40" t="s">
        <v>274</v>
      </c>
      <c r="J128" s="11"/>
      <c r="K128" s="11">
        <f>SUM(H125*35)</f>
        <v>0</v>
      </c>
      <c r="L128" s="11">
        <f>SUM(C128:F128)*50</f>
        <v>0</v>
      </c>
    </row>
    <row r="129" spans="2:13" ht="15" customHeight="1" x14ac:dyDescent="0.25">
      <c r="B129" s="42" t="s">
        <v>50</v>
      </c>
      <c r="C129" s="19">
        <f>SUM(H125)</f>
        <v>0</v>
      </c>
      <c r="D129" s="19"/>
      <c r="E129" s="19"/>
      <c r="F129" s="19"/>
      <c r="G129" s="11"/>
      <c r="H129" s="28"/>
      <c r="I129" s="40" t="s">
        <v>274</v>
      </c>
      <c r="J129" s="11"/>
      <c r="K129" s="11">
        <f>SUM(H125*35)</f>
        <v>0</v>
      </c>
      <c r="L129" s="11">
        <f>SUM(C129:F129)*50</f>
        <v>0</v>
      </c>
    </row>
    <row r="130" spans="2:13" ht="15" customHeight="1" x14ac:dyDescent="0.25">
      <c r="B130" s="40" t="s">
        <v>106</v>
      </c>
      <c r="C130" s="21"/>
      <c r="D130" s="21"/>
      <c r="E130" s="21">
        <f>SUM(H125)</f>
        <v>0</v>
      </c>
      <c r="F130" s="21">
        <f>SUM(H125)</f>
        <v>0</v>
      </c>
      <c r="G130" s="11"/>
      <c r="H130" s="28"/>
      <c r="I130" s="40" t="s">
        <v>15</v>
      </c>
      <c r="K130" s="11">
        <f>SUM(C130:F130)*500</f>
        <v>0</v>
      </c>
      <c r="L130" s="11">
        <f>SUM(C130:F130)*50</f>
        <v>0</v>
      </c>
      <c r="M130" s="2" t="s">
        <v>239</v>
      </c>
    </row>
    <row r="131" spans="2:13" ht="15" customHeight="1" x14ac:dyDescent="0.25">
      <c r="B131" s="40" t="s">
        <v>190</v>
      </c>
      <c r="C131" s="21"/>
      <c r="D131" s="21"/>
      <c r="E131" s="21"/>
      <c r="F131" s="21"/>
      <c r="G131" s="11"/>
      <c r="H131" s="28"/>
      <c r="I131" s="40" t="s">
        <v>18</v>
      </c>
      <c r="K131" s="11"/>
      <c r="L131" s="11"/>
    </row>
    <row r="132" spans="2:13" s="4" customFormat="1" ht="15" customHeight="1" x14ac:dyDescent="0.25">
      <c r="B132" s="42"/>
      <c r="C132" s="19"/>
      <c r="D132" s="19"/>
      <c r="E132" s="19"/>
      <c r="F132" s="19"/>
      <c r="G132" s="11"/>
      <c r="H132" s="28"/>
      <c r="I132" s="38"/>
      <c r="J132" s="10"/>
      <c r="K132" s="11"/>
      <c r="L132" s="11"/>
      <c r="M132" s="2"/>
    </row>
    <row r="133" spans="2:13" s="4" customFormat="1" ht="15" customHeight="1" x14ac:dyDescent="0.25">
      <c r="B133" s="38" t="s">
        <v>222</v>
      </c>
      <c r="C133" s="21"/>
      <c r="D133" s="21"/>
      <c r="E133" s="21"/>
      <c r="F133" s="21"/>
      <c r="G133" s="39" t="s">
        <v>9</v>
      </c>
      <c r="H133" s="29"/>
      <c r="I133" s="40" t="s">
        <v>18</v>
      </c>
      <c r="J133" s="11">
        <f>SUM(H125*350)</f>
        <v>0</v>
      </c>
      <c r="K133" s="11"/>
      <c r="L133" s="11"/>
    </row>
    <row r="134" spans="2:13" s="4" customFormat="1" ht="15" customHeight="1" x14ac:dyDescent="0.25">
      <c r="B134" s="40" t="s">
        <v>62</v>
      </c>
      <c r="C134" s="21"/>
      <c r="D134" s="21"/>
      <c r="E134" s="21"/>
      <c r="F134" s="21">
        <f>SUM(H125)</f>
        <v>0</v>
      </c>
      <c r="G134" s="39"/>
      <c r="H134" s="29"/>
      <c r="I134" s="40"/>
      <c r="J134" s="11"/>
      <c r="K134" s="11"/>
      <c r="L134" s="11">
        <f>SUM(C134:F134)*50</f>
        <v>0</v>
      </c>
    </row>
    <row r="135" spans="2:13" ht="15" customHeight="1" x14ac:dyDescent="0.25">
      <c r="B135" s="40" t="s">
        <v>200</v>
      </c>
      <c r="C135" s="21"/>
      <c r="D135" s="21"/>
      <c r="E135" s="21">
        <f>SUM(H125)</f>
        <v>0</v>
      </c>
      <c r="F135" s="21"/>
      <c r="G135" s="39"/>
      <c r="H135" s="29"/>
      <c r="I135" s="40" t="s">
        <v>26</v>
      </c>
      <c r="J135" s="11"/>
      <c r="K135" s="11">
        <f>SUM(C135:F135)*30</f>
        <v>0</v>
      </c>
      <c r="L135" s="11">
        <f>SUM(C135:F135)*50</f>
        <v>0</v>
      </c>
      <c r="M135" s="4"/>
    </row>
    <row r="136" spans="2:13" s="3" customFormat="1" ht="15" customHeight="1" x14ac:dyDescent="0.25">
      <c r="B136" s="40" t="s">
        <v>221</v>
      </c>
      <c r="C136" s="21"/>
      <c r="D136" s="21">
        <f>SUM(H125)</f>
        <v>0</v>
      </c>
      <c r="E136" s="21">
        <f>SUM(H125)</f>
        <v>0</v>
      </c>
      <c r="F136" s="21">
        <f>SUM(H125)</f>
        <v>0</v>
      </c>
      <c r="G136" s="11"/>
      <c r="H136" s="28"/>
      <c r="I136" s="40" t="s">
        <v>232</v>
      </c>
      <c r="J136" s="11"/>
      <c r="K136" s="11"/>
      <c r="L136" s="11">
        <f>SUM(C136:F136)*50</f>
        <v>0</v>
      </c>
      <c r="M136" s="2"/>
    </row>
    <row r="137" spans="2:13" s="4" customFormat="1" ht="15" customHeight="1" x14ac:dyDescent="0.25">
      <c r="B137" s="38" t="s">
        <v>223</v>
      </c>
      <c r="C137" s="21"/>
      <c r="D137" s="21"/>
      <c r="E137" s="21"/>
      <c r="F137" s="21"/>
      <c r="G137" s="39" t="s">
        <v>9</v>
      </c>
      <c r="H137" s="29"/>
      <c r="I137" s="40" t="s">
        <v>18</v>
      </c>
      <c r="J137" s="11">
        <f>SUM(H125*350)</f>
        <v>0</v>
      </c>
      <c r="K137" s="11"/>
      <c r="L137" s="11"/>
      <c r="M137" s="3"/>
    </row>
    <row r="138" spans="2:13" s="4" customFormat="1" ht="15" customHeight="1" x14ac:dyDescent="0.25">
      <c r="B138" s="40" t="s">
        <v>62</v>
      </c>
      <c r="C138" s="21"/>
      <c r="D138" s="21"/>
      <c r="E138" s="21"/>
      <c r="F138" s="21">
        <f>SUM(H125)</f>
        <v>0</v>
      </c>
      <c r="G138" s="39"/>
      <c r="H138" s="29"/>
      <c r="I138" s="40"/>
      <c r="J138" s="11"/>
      <c r="K138" s="11"/>
      <c r="L138" s="11">
        <f t="shared" ref="L138:L146" si="8">SUM(C138:F138)*50</f>
        <v>0</v>
      </c>
    </row>
    <row r="139" spans="2:13" ht="15" customHeight="1" x14ac:dyDescent="0.25">
      <c r="B139" s="40" t="s">
        <v>200</v>
      </c>
      <c r="C139" s="21"/>
      <c r="D139" s="21"/>
      <c r="E139" s="21">
        <f>SUM(H125)</f>
        <v>0</v>
      </c>
      <c r="F139" s="21"/>
      <c r="G139" s="39"/>
      <c r="H139" s="29"/>
      <c r="I139" s="40" t="s">
        <v>26</v>
      </c>
      <c r="J139" s="11"/>
      <c r="K139" s="11">
        <f>SUM(C139:F139)*30</f>
        <v>0</v>
      </c>
      <c r="L139" s="11">
        <f t="shared" si="8"/>
        <v>0</v>
      </c>
      <c r="M139" s="4"/>
    </row>
    <row r="140" spans="2:13" ht="15" customHeight="1" x14ac:dyDescent="0.25">
      <c r="B140" s="40" t="s">
        <v>221</v>
      </c>
      <c r="C140" s="21"/>
      <c r="D140" s="21">
        <f>SUM(H125)</f>
        <v>0</v>
      </c>
      <c r="E140" s="21">
        <f>SUM(H125)</f>
        <v>0</v>
      </c>
      <c r="F140" s="21">
        <f>SUM(H125)</f>
        <v>0</v>
      </c>
      <c r="G140" s="11"/>
      <c r="H140" s="28"/>
      <c r="I140" s="40" t="s">
        <v>232</v>
      </c>
      <c r="J140" s="11"/>
      <c r="K140" s="11"/>
      <c r="L140" s="11">
        <f t="shared" si="8"/>
        <v>0</v>
      </c>
    </row>
    <row r="141" spans="2:13" ht="15" customHeight="1" x14ac:dyDescent="0.25">
      <c r="B141" s="40" t="s">
        <v>33</v>
      </c>
      <c r="C141" s="21">
        <f>SUM(H125)</f>
        <v>0</v>
      </c>
      <c r="D141" s="21"/>
      <c r="E141" s="21"/>
      <c r="F141" s="21"/>
      <c r="G141" s="21"/>
      <c r="H141" s="29"/>
      <c r="I141" s="40" t="s">
        <v>274</v>
      </c>
      <c r="J141" s="11"/>
      <c r="K141" s="11">
        <f>SUM(H125*35)</f>
        <v>0</v>
      </c>
      <c r="L141" s="11">
        <f t="shared" si="8"/>
        <v>0</v>
      </c>
      <c r="M141" s="4"/>
    </row>
    <row r="142" spans="2:13" ht="15" customHeight="1" x14ac:dyDescent="0.25">
      <c r="B142" s="40" t="s">
        <v>34</v>
      </c>
      <c r="C142" s="21">
        <f>SUM(H125)</f>
        <v>0</v>
      </c>
      <c r="D142" s="21"/>
      <c r="E142" s="21"/>
      <c r="F142" s="21"/>
      <c r="G142" s="21"/>
      <c r="H142" s="29"/>
      <c r="I142" s="40" t="s">
        <v>274</v>
      </c>
      <c r="J142" s="11"/>
      <c r="K142" s="11">
        <f>SUM(H125*35)</f>
        <v>0</v>
      </c>
      <c r="L142" s="11">
        <f t="shared" si="8"/>
        <v>0</v>
      </c>
      <c r="M142" s="4"/>
    </row>
    <row r="143" spans="2:13" ht="15" customHeight="1" x14ac:dyDescent="0.25">
      <c r="B143" s="40" t="s">
        <v>36</v>
      </c>
      <c r="C143" s="19"/>
      <c r="D143" s="19">
        <f>SUM(H125)</f>
        <v>0</v>
      </c>
      <c r="E143" s="19"/>
      <c r="F143" s="19"/>
      <c r="G143" s="21"/>
      <c r="H143" s="29"/>
      <c r="I143" s="44" t="s">
        <v>67</v>
      </c>
      <c r="J143" s="9"/>
      <c r="K143" s="11">
        <f>SUM(C143:F143)*300</f>
        <v>0</v>
      </c>
      <c r="L143" s="11">
        <f t="shared" si="8"/>
        <v>0</v>
      </c>
      <c r="M143" s="3"/>
    </row>
    <row r="144" spans="2:13" ht="15" customHeight="1" x14ac:dyDescent="0.25">
      <c r="B144" s="40" t="s">
        <v>35</v>
      </c>
      <c r="C144" s="21">
        <f>SUM(H125)</f>
        <v>0</v>
      </c>
      <c r="D144" s="21"/>
      <c r="E144" s="21"/>
      <c r="F144" s="21"/>
      <c r="G144" s="20"/>
      <c r="H144" s="28"/>
      <c r="I144" s="42" t="s">
        <v>273</v>
      </c>
      <c r="J144" s="11"/>
      <c r="K144" s="11">
        <f>SUM(H125*75)</f>
        <v>0</v>
      </c>
      <c r="L144" s="11">
        <f t="shared" si="8"/>
        <v>0</v>
      </c>
      <c r="M144" s="4"/>
    </row>
    <row r="145" spans="2:13" ht="15" customHeight="1" x14ac:dyDescent="0.25">
      <c r="B145" s="40" t="s">
        <v>68</v>
      </c>
      <c r="C145" s="19">
        <f>SUM(H125)</f>
        <v>0</v>
      </c>
      <c r="D145" s="19"/>
      <c r="E145" s="19"/>
      <c r="F145" s="19"/>
      <c r="G145" s="20"/>
      <c r="H145" s="28"/>
      <c r="I145" s="40" t="s">
        <v>69</v>
      </c>
      <c r="J145" s="11"/>
      <c r="K145" s="12">
        <f>SUM(C145:F145)*1000</f>
        <v>0</v>
      </c>
      <c r="L145" s="11">
        <f t="shared" si="8"/>
        <v>0</v>
      </c>
      <c r="M145" s="4" t="s">
        <v>233</v>
      </c>
    </row>
    <row r="146" spans="2:13" ht="15" customHeight="1" x14ac:dyDescent="0.25">
      <c r="B146" s="40" t="s">
        <v>70</v>
      </c>
      <c r="C146" s="19"/>
      <c r="D146" s="19"/>
      <c r="E146" s="19">
        <f>SUM(H125)</f>
        <v>0</v>
      </c>
      <c r="F146" s="19"/>
      <c r="G146" s="20"/>
      <c r="H146" s="28"/>
      <c r="I146" s="40" t="s">
        <v>71</v>
      </c>
      <c r="J146" s="11"/>
      <c r="K146" s="11">
        <f>SUM(H125*125)</f>
        <v>0</v>
      </c>
      <c r="L146" s="11">
        <f t="shared" si="8"/>
        <v>0</v>
      </c>
      <c r="M146" s="4"/>
    </row>
    <row r="147" spans="2:13" ht="15" customHeight="1" thickBot="1" x14ac:dyDescent="0.3">
      <c r="B147" s="42"/>
      <c r="C147" s="19"/>
      <c r="D147" s="19"/>
      <c r="E147" s="19"/>
      <c r="F147" s="19"/>
      <c r="G147" s="11"/>
      <c r="H147" s="28"/>
      <c r="I147" s="40"/>
      <c r="K147" s="11"/>
      <c r="L147" s="11"/>
    </row>
    <row r="148" spans="2:13" ht="15" customHeight="1" thickBot="1" x14ac:dyDescent="0.3">
      <c r="B148" s="38" t="s">
        <v>51</v>
      </c>
      <c r="C148" s="21"/>
      <c r="D148" s="21"/>
      <c r="E148" s="21"/>
      <c r="F148" s="21"/>
      <c r="G148" s="39" t="s">
        <v>10</v>
      </c>
      <c r="H148" s="25"/>
      <c r="I148" s="40" t="s">
        <v>18</v>
      </c>
      <c r="J148" s="10">
        <f>SUM(150*H148)</f>
        <v>0</v>
      </c>
      <c r="K148" s="11"/>
      <c r="L148" s="11"/>
    </row>
    <row r="149" spans="2:13" ht="15" customHeight="1" x14ac:dyDescent="0.25">
      <c r="B149" s="40" t="s">
        <v>175</v>
      </c>
      <c r="C149" s="21"/>
      <c r="D149" s="21"/>
      <c r="E149" s="21">
        <f>SUM(H148)</f>
        <v>0</v>
      </c>
      <c r="F149" s="21"/>
      <c r="G149" s="11"/>
      <c r="H149" s="28"/>
      <c r="I149" s="40" t="s">
        <v>18</v>
      </c>
      <c r="K149" s="11"/>
      <c r="L149" s="11">
        <f>SUM(C149:F149)*50</f>
        <v>0</v>
      </c>
    </row>
    <row r="150" spans="2:13" ht="15" customHeight="1" x14ac:dyDescent="0.25">
      <c r="B150" s="40" t="s">
        <v>191</v>
      </c>
      <c r="C150" s="21"/>
      <c r="D150" s="21"/>
      <c r="E150" s="21">
        <f>PRODUCT(H148*2)</f>
        <v>0</v>
      </c>
      <c r="F150" s="21"/>
      <c r="G150" s="11"/>
      <c r="H150" s="28"/>
      <c r="I150" s="40" t="s">
        <v>18</v>
      </c>
      <c r="K150" s="11"/>
      <c r="L150" s="11">
        <f>SUM(C150:F150)*50</f>
        <v>0</v>
      </c>
    </row>
    <row r="151" spans="2:13" ht="15" customHeight="1" thickBot="1" x14ac:dyDescent="0.3">
      <c r="B151" s="40"/>
      <c r="C151" s="21"/>
      <c r="D151" s="21"/>
      <c r="E151" s="21"/>
      <c r="F151" s="21"/>
      <c r="G151" s="11"/>
      <c r="H151" s="28"/>
      <c r="I151" s="40"/>
      <c r="K151" s="11"/>
      <c r="L151" s="11"/>
    </row>
    <row r="152" spans="2:13" ht="15" customHeight="1" thickBot="1" x14ac:dyDescent="0.3">
      <c r="B152" s="38" t="s">
        <v>107</v>
      </c>
      <c r="C152" s="21"/>
      <c r="D152" s="21"/>
      <c r="E152" s="21"/>
      <c r="F152" s="21"/>
      <c r="G152" s="11"/>
      <c r="H152" s="23"/>
      <c r="I152" s="40"/>
      <c r="K152" s="11"/>
      <c r="L152" s="11"/>
    </row>
    <row r="153" spans="2:13" ht="15" customHeight="1" x14ac:dyDescent="0.25">
      <c r="B153" s="40" t="s">
        <v>11</v>
      </c>
      <c r="C153" s="21">
        <f>SUM(H152)</f>
        <v>0</v>
      </c>
      <c r="D153" s="21"/>
      <c r="E153" s="21"/>
      <c r="F153" s="21"/>
      <c r="G153" s="11"/>
      <c r="H153" s="28"/>
      <c r="I153" s="40" t="s">
        <v>274</v>
      </c>
      <c r="K153" s="11">
        <f>SUM(35*H152)</f>
        <v>0</v>
      </c>
      <c r="L153" s="11">
        <f>SUM(C153:F153)*50</f>
        <v>0</v>
      </c>
    </row>
    <row r="154" spans="2:13" ht="15" customHeight="1" thickBot="1" x14ac:dyDescent="0.3">
      <c r="B154" s="40"/>
      <c r="C154" s="21"/>
      <c r="D154" s="21"/>
      <c r="E154" s="21"/>
      <c r="F154" s="21"/>
      <c r="G154" s="11"/>
      <c r="H154" s="28"/>
      <c r="I154" s="40"/>
      <c r="K154" s="11"/>
      <c r="L154" s="11"/>
    </row>
    <row r="155" spans="2:13" ht="15" customHeight="1" thickBot="1" x14ac:dyDescent="0.3">
      <c r="B155" s="38" t="s">
        <v>285</v>
      </c>
      <c r="C155" s="19"/>
      <c r="D155" s="19"/>
      <c r="E155" s="19"/>
      <c r="F155" s="19"/>
      <c r="G155" s="11"/>
      <c r="H155" s="23"/>
      <c r="I155" s="38"/>
      <c r="K155" s="11"/>
      <c r="L155" s="11"/>
    </row>
    <row r="156" spans="2:13" ht="15" customHeight="1" x14ac:dyDescent="0.25">
      <c r="B156" s="42" t="s">
        <v>108</v>
      </c>
      <c r="C156" s="19">
        <f>SUM(H155)</f>
        <v>0</v>
      </c>
      <c r="D156" s="19"/>
      <c r="E156" s="19"/>
      <c r="F156" s="19"/>
      <c r="G156" s="11"/>
      <c r="H156" s="28"/>
      <c r="I156" s="40" t="s">
        <v>109</v>
      </c>
      <c r="K156" s="11">
        <f>SUM(C156:F156)*150</f>
        <v>0</v>
      </c>
      <c r="L156" s="11">
        <f t="shared" ref="L156:L178" si="9">SUM(C156:F156)*50</f>
        <v>0</v>
      </c>
    </row>
    <row r="157" spans="2:13" ht="15" customHeight="1" x14ac:dyDescent="0.25">
      <c r="B157" s="42" t="s">
        <v>52</v>
      </c>
      <c r="C157" s="19"/>
      <c r="D157" s="19"/>
      <c r="E157" s="19">
        <f>SUM(H155)</f>
        <v>0</v>
      </c>
      <c r="F157" s="19"/>
      <c r="G157" s="11"/>
      <c r="H157" s="28"/>
      <c r="I157" s="40" t="s">
        <v>24</v>
      </c>
      <c r="J157" s="10">
        <f>SUM(E157)*50</f>
        <v>0</v>
      </c>
      <c r="K157" s="11">
        <f>SUM(C157:F157)*135</f>
        <v>0</v>
      </c>
      <c r="L157" s="11">
        <f t="shared" si="9"/>
        <v>0</v>
      </c>
    </row>
    <row r="158" spans="2:13" ht="15" customHeight="1" x14ac:dyDescent="0.25">
      <c r="B158" s="42" t="s">
        <v>110</v>
      </c>
      <c r="C158" s="19"/>
      <c r="D158" s="19"/>
      <c r="E158" s="19">
        <f>SUM(H155)</f>
        <v>0</v>
      </c>
      <c r="F158" s="19"/>
      <c r="G158" s="11"/>
      <c r="H158" s="28"/>
      <c r="I158" s="40" t="s">
        <v>24</v>
      </c>
      <c r="J158" s="10">
        <f>SUM(E158)*50</f>
        <v>0</v>
      </c>
      <c r="K158" s="11">
        <f t="shared" ref="K158" si="10">SUM(C158:F158)*135</f>
        <v>0</v>
      </c>
      <c r="L158" s="11">
        <f t="shared" si="9"/>
        <v>0</v>
      </c>
    </row>
    <row r="159" spans="2:13" ht="15" customHeight="1" x14ac:dyDescent="0.25">
      <c r="B159" s="42" t="s">
        <v>111</v>
      </c>
      <c r="C159" s="19"/>
      <c r="D159" s="19">
        <f>SUM(H155)</f>
        <v>0</v>
      </c>
      <c r="E159" s="19"/>
      <c r="F159" s="19"/>
      <c r="G159" s="11"/>
      <c r="H159" s="28"/>
      <c r="I159" s="40" t="s">
        <v>112</v>
      </c>
      <c r="K159" s="11">
        <f>SUM(C159:F159)*145</f>
        <v>0</v>
      </c>
      <c r="L159" s="11">
        <f t="shared" si="9"/>
        <v>0</v>
      </c>
    </row>
    <row r="160" spans="2:13" ht="15" customHeight="1" x14ac:dyDescent="0.25">
      <c r="B160" s="42" t="s">
        <v>113</v>
      </c>
      <c r="C160" s="19"/>
      <c r="D160" s="19">
        <f>SUM(H155)</f>
        <v>0</v>
      </c>
      <c r="E160" s="19"/>
      <c r="F160" s="19"/>
      <c r="G160" s="11"/>
      <c r="H160" s="28"/>
      <c r="I160" s="40" t="s">
        <v>112</v>
      </c>
      <c r="K160" s="11">
        <f t="shared" ref="K160:K161" si="11">SUM(C160:F160)*145</f>
        <v>0</v>
      </c>
      <c r="L160" s="11">
        <f t="shared" si="9"/>
        <v>0</v>
      </c>
    </row>
    <row r="161" spans="2:12" ht="15" customHeight="1" x14ac:dyDescent="0.25">
      <c r="B161" s="42" t="s">
        <v>114</v>
      </c>
      <c r="C161" s="19"/>
      <c r="D161" s="19">
        <f>SUM(H155)</f>
        <v>0</v>
      </c>
      <c r="E161" s="19"/>
      <c r="F161" s="19"/>
      <c r="G161" s="11"/>
      <c r="H161" s="28"/>
      <c r="I161" s="40" t="s">
        <v>112</v>
      </c>
      <c r="K161" s="11">
        <f t="shared" si="11"/>
        <v>0</v>
      </c>
      <c r="L161" s="11">
        <f t="shared" si="9"/>
        <v>0</v>
      </c>
    </row>
    <row r="162" spans="2:12" ht="15" customHeight="1" x14ac:dyDescent="0.25">
      <c r="B162" s="42" t="s">
        <v>53</v>
      </c>
      <c r="C162" s="19"/>
      <c r="D162" s="19"/>
      <c r="E162" s="19">
        <f>SUM(H155)</f>
        <v>0</v>
      </c>
      <c r="F162" s="19"/>
      <c r="G162" s="11"/>
      <c r="H162" s="28"/>
      <c r="I162" s="40" t="s">
        <v>289</v>
      </c>
      <c r="J162" s="10">
        <f>SUM(E162)*50</f>
        <v>0</v>
      </c>
      <c r="K162" s="11">
        <f>SUM(35*H155)</f>
        <v>0</v>
      </c>
      <c r="L162" s="11">
        <f t="shared" si="9"/>
        <v>0</v>
      </c>
    </row>
    <row r="163" spans="2:12" ht="15" customHeight="1" x14ac:dyDescent="0.25">
      <c r="B163" s="42" t="s">
        <v>54</v>
      </c>
      <c r="C163" s="19"/>
      <c r="D163" s="19"/>
      <c r="E163" s="19">
        <f>SUM(H155)</f>
        <v>0</v>
      </c>
      <c r="F163" s="19"/>
      <c r="G163" s="11"/>
      <c r="H163" s="28"/>
      <c r="I163" s="40" t="s">
        <v>289</v>
      </c>
      <c r="J163" s="10">
        <f>SUM(E163)*50</f>
        <v>0</v>
      </c>
      <c r="K163" s="11">
        <f>SUM(35*H155)</f>
        <v>0</v>
      </c>
      <c r="L163" s="11">
        <f t="shared" si="9"/>
        <v>0</v>
      </c>
    </row>
    <row r="164" spans="2:12" ht="15" customHeight="1" x14ac:dyDescent="0.25">
      <c r="B164" s="42" t="s">
        <v>115</v>
      </c>
      <c r="C164" s="19">
        <f>SUM(H155)</f>
        <v>0</v>
      </c>
      <c r="D164" s="19"/>
      <c r="E164" s="19"/>
      <c r="F164" s="19"/>
      <c r="G164" s="11"/>
      <c r="H164" s="28"/>
      <c r="I164" s="40" t="s">
        <v>16</v>
      </c>
      <c r="J164" s="10">
        <f>SUM(C164)*50</f>
        <v>0</v>
      </c>
      <c r="K164" s="11">
        <f>SUM(C164:F164)*165</f>
        <v>0</v>
      </c>
      <c r="L164" s="11">
        <f t="shared" si="9"/>
        <v>0</v>
      </c>
    </row>
    <row r="165" spans="2:12" ht="15" customHeight="1" x14ac:dyDescent="0.25">
      <c r="B165" s="42" t="s">
        <v>116</v>
      </c>
      <c r="C165" s="19">
        <f>SUM(H155)</f>
        <v>0</v>
      </c>
      <c r="D165" s="19"/>
      <c r="E165" s="19"/>
      <c r="F165" s="19"/>
      <c r="G165" s="11"/>
      <c r="H165" s="28"/>
      <c r="I165" s="40" t="s">
        <v>16</v>
      </c>
      <c r="J165" s="10">
        <f>SUM(C165)*50</f>
        <v>0</v>
      </c>
      <c r="K165" s="11">
        <f>SUM(C165:F165)*165</f>
        <v>0</v>
      </c>
      <c r="L165" s="11">
        <f t="shared" si="9"/>
        <v>0</v>
      </c>
    </row>
    <row r="166" spans="2:12" ht="15" customHeight="1" x14ac:dyDescent="0.25">
      <c r="B166" s="42" t="s">
        <v>55</v>
      </c>
      <c r="C166" s="19"/>
      <c r="D166" s="19"/>
      <c r="E166" s="19">
        <f>SUM(H155)</f>
        <v>0</v>
      </c>
      <c r="F166" s="19"/>
      <c r="G166" s="11"/>
      <c r="H166" s="28"/>
      <c r="I166" s="40" t="s">
        <v>25</v>
      </c>
      <c r="J166" s="10">
        <f>SUM(E166)*50</f>
        <v>0</v>
      </c>
      <c r="K166" s="11">
        <f>SUM(C166:F166)*65</f>
        <v>0</v>
      </c>
      <c r="L166" s="11">
        <f t="shared" si="9"/>
        <v>0</v>
      </c>
    </row>
    <row r="167" spans="2:12" ht="15" customHeight="1" x14ac:dyDescent="0.25">
      <c r="B167" s="42" t="s">
        <v>117</v>
      </c>
      <c r="C167" s="19"/>
      <c r="D167" s="19">
        <f>SUM(H155)</f>
        <v>0</v>
      </c>
      <c r="E167" s="19"/>
      <c r="F167" s="19"/>
      <c r="G167" s="11"/>
      <c r="H167" s="28"/>
      <c r="I167" s="40" t="s">
        <v>67</v>
      </c>
      <c r="K167" s="11">
        <f>SUM(C167:F167)*350</f>
        <v>0</v>
      </c>
      <c r="L167" s="11">
        <f t="shared" si="9"/>
        <v>0</v>
      </c>
    </row>
    <row r="168" spans="2:12" ht="15" customHeight="1" x14ac:dyDescent="0.25">
      <c r="B168" s="42" t="s">
        <v>118</v>
      </c>
      <c r="C168" s="19">
        <f>SUM(H155)</f>
        <v>0</v>
      </c>
      <c r="D168" s="19"/>
      <c r="E168" s="19"/>
      <c r="F168" s="19"/>
      <c r="G168" s="11"/>
      <c r="H168" s="28"/>
      <c r="I168" s="40" t="s">
        <v>275</v>
      </c>
      <c r="K168" s="11">
        <f>SUM(10*H155)</f>
        <v>0</v>
      </c>
      <c r="L168" s="11">
        <f t="shared" si="9"/>
        <v>0</v>
      </c>
    </row>
    <row r="169" spans="2:12" ht="15" customHeight="1" x14ac:dyDescent="0.25">
      <c r="B169" s="42" t="s">
        <v>213</v>
      </c>
      <c r="C169" s="19">
        <f>SUM(H155)</f>
        <v>0</v>
      </c>
      <c r="D169" s="19"/>
      <c r="E169" s="19"/>
      <c r="F169" s="19"/>
      <c r="G169" s="11"/>
      <c r="H169" s="28"/>
      <c r="I169" s="40" t="s">
        <v>274</v>
      </c>
      <c r="J169" s="11"/>
      <c r="K169" s="11">
        <f>SUM(35*H155)</f>
        <v>0</v>
      </c>
      <c r="L169" s="11">
        <f t="shared" si="9"/>
        <v>0</v>
      </c>
    </row>
    <row r="170" spans="2:12" ht="15" customHeight="1" x14ac:dyDescent="0.25">
      <c r="B170" s="42" t="s">
        <v>214</v>
      </c>
      <c r="C170" s="19">
        <f>SUM(H155)</f>
        <v>0</v>
      </c>
      <c r="D170" s="19"/>
      <c r="E170" s="19"/>
      <c r="F170" s="19"/>
      <c r="G170" s="11"/>
      <c r="H170" s="28"/>
      <c r="I170" s="40" t="s">
        <v>274</v>
      </c>
      <c r="J170" s="11"/>
      <c r="K170" s="11">
        <f>SUM(35*H155)</f>
        <v>0</v>
      </c>
      <c r="L170" s="11">
        <f t="shared" si="9"/>
        <v>0</v>
      </c>
    </row>
    <row r="171" spans="2:12" ht="15" customHeight="1" x14ac:dyDescent="0.25">
      <c r="B171" s="42" t="s">
        <v>56</v>
      </c>
      <c r="C171" s="19"/>
      <c r="D171" s="19">
        <f>SUM(H155)</f>
        <v>0</v>
      </c>
      <c r="E171" s="19"/>
      <c r="F171" s="19"/>
      <c r="G171" s="11"/>
      <c r="H171" s="28"/>
      <c r="I171" s="40" t="s">
        <v>67</v>
      </c>
      <c r="K171" s="11">
        <f>SUM(C171:F171)*350</f>
        <v>0</v>
      </c>
      <c r="L171" s="11">
        <f t="shared" si="9"/>
        <v>0</v>
      </c>
    </row>
    <row r="172" spans="2:12" ht="15" customHeight="1" x14ac:dyDescent="0.25">
      <c r="B172" s="42" t="s">
        <v>57</v>
      </c>
      <c r="C172" s="19">
        <f>SUM(H155)</f>
        <v>0</v>
      </c>
      <c r="D172" s="19"/>
      <c r="E172" s="19"/>
      <c r="F172" s="19"/>
      <c r="G172" s="11"/>
      <c r="H172" s="28"/>
      <c r="I172" s="40" t="s">
        <v>275</v>
      </c>
      <c r="K172" s="11">
        <f>SUM(35*H155)</f>
        <v>0</v>
      </c>
      <c r="L172" s="11">
        <f t="shared" si="9"/>
        <v>0</v>
      </c>
    </row>
    <row r="173" spans="2:12" ht="15" customHeight="1" x14ac:dyDescent="0.25">
      <c r="B173" s="42" t="s">
        <v>215</v>
      </c>
      <c r="C173" s="19">
        <f>SUM(H155)</f>
        <v>0</v>
      </c>
      <c r="D173" s="19"/>
      <c r="E173" s="19"/>
      <c r="F173" s="19"/>
      <c r="G173" s="11"/>
      <c r="H173" s="28"/>
      <c r="I173" s="40" t="s">
        <v>274</v>
      </c>
      <c r="J173" s="11"/>
      <c r="K173" s="11">
        <f>SUM(35*H155)</f>
        <v>0</v>
      </c>
      <c r="L173" s="11">
        <f t="shared" si="9"/>
        <v>0</v>
      </c>
    </row>
    <row r="174" spans="2:12" ht="15" customHeight="1" x14ac:dyDescent="0.25">
      <c r="B174" s="42" t="s">
        <v>216</v>
      </c>
      <c r="C174" s="19">
        <f>SUM(H155)</f>
        <v>0</v>
      </c>
      <c r="D174" s="19"/>
      <c r="E174" s="19"/>
      <c r="F174" s="19"/>
      <c r="G174" s="11"/>
      <c r="H174" s="28"/>
      <c r="I174" s="40" t="s">
        <v>274</v>
      </c>
      <c r="J174" s="11"/>
      <c r="K174" s="11">
        <f>SUM(35*H155)</f>
        <v>0</v>
      </c>
      <c r="L174" s="11">
        <f t="shared" si="9"/>
        <v>0</v>
      </c>
    </row>
    <row r="175" spans="2:12" ht="15" customHeight="1" x14ac:dyDescent="0.25">
      <c r="B175" s="42" t="s">
        <v>58</v>
      </c>
      <c r="C175" s="19"/>
      <c r="D175" s="19">
        <f>SUM(H155)</f>
        <v>0</v>
      </c>
      <c r="E175" s="19"/>
      <c r="F175" s="19"/>
      <c r="G175" s="11"/>
      <c r="H175" s="28"/>
      <c r="I175" s="40" t="s">
        <v>67</v>
      </c>
      <c r="K175" s="11">
        <f>SUM(C175:F175)*350</f>
        <v>0</v>
      </c>
      <c r="L175" s="11">
        <f t="shared" si="9"/>
        <v>0</v>
      </c>
    </row>
    <row r="176" spans="2:12" ht="15" customHeight="1" x14ac:dyDescent="0.25">
      <c r="B176" s="42" t="s">
        <v>59</v>
      </c>
      <c r="C176" s="19">
        <f>SUM(H155)</f>
        <v>0</v>
      </c>
      <c r="D176" s="19"/>
      <c r="E176" s="19"/>
      <c r="F176" s="19"/>
      <c r="G176" s="11"/>
      <c r="H176" s="28"/>
      <c r="I176" s="40" t="s">
        <v>275</v>
      </c>
      <c r="K176" s="11">
        <f>SUM(35*H155)</f>
        <v>0</v>
      </c>
      <c r="L176" s="11">
        <f t="shared" si="9"/>
        <v>0</v>
      </c>
    </row>
    <row r="177" spans="2:12" ht="15" customHeight="1" x14ac:dyDescent="0.25">
      <c r="B177" s="42" t="s">
        <v>217</v>
      </c>
      <c r="C177" s="19">
        <f>SUM(H155)</f>
        <v>0</v>
      </c>
      <c r="D177" s="19"/>
      <c r="E177" s="19"/>
      <c r="F177" s="19"/>
      <c r="G177" s="11"/>
      <c r="H177" s="28"/>
      <c r="I177" s="40" t="s">
        <v>274</v>
      </c>
      <c r="J177" s="11"/>
      <c r="K177" s="11">
        <f>SUM(35*H155)</f>
        <v>0</v>
      </c>
      <c r="L177" s="11">
        <f t="shared" si="9"/>
        <v>0</v>
      </c>
    </row>
    <row r="178" spans="2:12" ht="15" customHeight="1" x14ac:dyDescent="0.25">
      <c r="B178" s="42" t="s">
        <v>218</v>
      </c>
      <c r="C178" s="19">
        <f>SUM(H155)</f>
        <v>0</v>
      </c>
      <c r="D178" s="19"/>
      <c r="E178" s="19"/>
      <c r="F178" s="19"/>
      <c r="G178" s="11"/>
      <c r="H178" s="28"/>
      <c r="I178" s="40" t="s">
        <v>274</v>
      </c>
      <c r="J178" s="11"/>
      <c r="K178" s="11">
        <f>SUM(35*H155)</f>
        <v>0</v>
      </c>
      <c r="L178" s="11">
        <f t="shared" si="9"/>
        <v>0</v>
      </c>
    </row>
    <row r="179" spans="2:12" ht="15" customHeight="1" x14ac:dyDescent="0.25">
      <c r="B179" s="44" t="s">
        <v>203</v>
      </c>
      <c r="C179" s="19"/>
      <c r="D179" s="19"/>
      <c r="E179" s="19"/>
      <c r="F179" s="19"/>
      <c r="G179" s="39" t="s">
        <v>10</v>
      </c>
      <c r="H179" s="29"/>
      <c r="I179" s="38"/>
      <c r="J179" s="10">
        <f>SUM(150*H155)</f>
        <v>0</v>
      </c>
      <c r="K179" s="11"/>
      <c r="L179" s="11"/>
    </row>
    <row r="180" spans="2:12" ht="15" customHeight="1" x14ac:dyDescent="0.25">
      <c r="B180" s="42" t="s">
        <v>184</v>
      </c>
      <c r="C180" s="19"/>
      <c r="D180" s="19">
        <f>SUM(H155)</f>
        <v>0</v>
      </c>
      <c r="E180" s="19">
        <f>SUM(H155)</f>
        <v>0</v>
      </c>
      <c r="F180" s="19">
        <f>SUM(H155)</f>
        <v>0</v>
      </c>
      <c r="G180" s="11"/>
      <c r="H180" s="28"/>
      <c r="I180" s="40" t="s">
        <v>18</v>
      </c>
      <c r="J180" s="10">
        <f>SUM(E180)*50</f>
        <v>0</v>
      </c>
      <c r="K180" s="11"/>
      <c r="L180" s="11">
        <f t="shared" ref="L180:L185" si="12">SUM(C180:F180)*50</f>
        <v>0</v>
      </c>
    </row>
    <row r="181" spans="2:12" ht="15" customHeight="1" x14ac:dyDescent="0.25">
      <c r="B181" s="42" t="s">
        <v>178</v>
      </c>
      <c r="C181" s="19"/>
      <c r="D181" s="19"/>
      <c r="E181" s="19">
        <f>SUM(H155)</f>
        <v>0</v>
      </c>
      <c r="F181" s="19"/>
      <c r="G181" s="11"/>
      <c r="H181" s="28"/>
      <c r="I181" s="40" t="s">
        <v>6</v>
      </c>
      <c r="J181" s="10">
        <f>SUM(E181)*50</f>
        <v>0</v>
      </c>
      <c r="K181" s="11">
        <f>SUM(65*H155)</f>
        <v>0</v>
      </c>
      <c r="L181" s="11">
        <f t="shared" si="12"/>
        <v>0</v>
      </c>
    </row>
    <row r="182" spans="2:12" ht="15" customHeight="1" x14ac:dyDescent="0.25">
      <c r="B182" s="44" t="s">
        <v>204</v>
      </c>
      <c r="C182" s="21"/>
      <c r="D182" s="21"/>
      <c r="E182" s="21"/>
      <c r="F182" s="21"/>
      <c r="G182" s="17" t="s">
        <v>192</v>
      </c>
      <c r="H182" s="28"/>
      <c r="I182" s="40" t="s">
        <v>238</v>
      </c>
      <c r="K182" s="11">
        <f>SUM(C182:F182)*35</f>
        <v>0</v>
      </c>
      <c r="L182" s="11">
        <f t="shared" si="12"/>
        <v>0</v>
      </c>
    </row>
    <row r="183" spans="2:12" ht="15" customHeight="1" x14ac:dyDescent="0.25">
      <c r="B183" s="42" t="s">
        <v>119</v>
      </c>
      <c r="C183" s="19"/>
      <c r="D183" s="19"/>
      <c r="E183" s="19">
        <f>SUM(H155)</f>
        <v>0</v>
      </c>
      <c r="F183" s="19"/>
      <c r="G183" s="11"/>
      <c r="H183" s="28"/>
      <c r="I183" s="40" t="s">
        <v>18</v>
      </c>
      <c r="J183" s="10">
        <f>SUM(50*H155)</f>
        <v>0</v>
      </c>
      <c r="K183" s="11">
        <f>SUM(C183:F183)*35</f>
        <v>0</v>
      </c>
      <c r="L183" s="11">
        <f t="shared" si="12"/>
        <v>0</v>
      </c>
    </row>
    <row r="184" spans="2:12" ht="15" customHeight="1" x14ac:dyDescent="0.25">
      <c r="B184" s="42" t="s">
        <v>193</v>
      </c>
      <c r="C184" s="19"/>
      <c r="D184" s="19"/>
      <c r="E184" s="19"/>
      <c r="F184" s="19">
        <f>SUM(H155)</f>
        <v>0</v>
      </c>
      <c r="G184" s="11"/>
      <c r="H184" s="28"/>
      <c r="I184" s="40" t="s">
        <v>18</v>
      </c>
      <c r="K184" s="11">
        <f>SUM(C184:F184)*35</f>
        <v>0</v>
      </c>
      <c r="L184" s="11">
        <f t="shared" si="12"/>
        <v>0</v>
      </c>
    </row>
    <row r="185" spans="2:12" ht="15" customHeight="1" x14ac:dyDescent="0.25">
      <c r="B185" s="42" t="s">
        <v>194</v>
      </c>
      <c r="C185" s="19"/>
      <c r="D185" s="19"/>
      <c r="E185" s="19"/>
      <c r="F185" s="19">
        <f>SUM(H155)</f>
        <v>0</v>
      </c>
      <c r="G185" s="11"/>
      <c r="H185" s="28"/>
      <c r="I185" s="40" t="s">
        <v>18</v>
      </c>
      <c r="K185" s="11">
        <f>SUM(C185:F185)*35</f>
        <v>0</v>
      </c>
      <c r="L185" s="11">
        <f t="shared" si="12"/>
        <v>0</v>
      </c>
    </row>
    <row r="186" spans="2:12" ht="15" customHeight="1" x14ac:dyDescent="0.25">
      <c r="B186" s="38" t="s">
        <v>205</v>
      </c>
      <c r="C186" s="21"/>
      <c r="D186" s="21"/>
      <c r="E186" s="21"/>
      <c r="F186" s="21"/>
      <c r="G186" s="39" t="s">
        <v>9</v>
      </c>
      <c r="H186" s="29"/>
      <c r="I186" s="40"/>
      <c r="J186" s="10">
        <f>SUM(350*H155)</f>
        <v>0</v>
      </c>
      <c r="K186" s="11"/>
      <c r="L186" s="11"/>
    </row>
    <row r="187" spans="2:12" ht="15" customHeight="1" x14ac:dyDescent="0.25">
      <c r="B187" s="42" t="s">
        <v>183</v>
      </c>
      <c r="C187" s="19"/>
      <c r="D187" s="19"/>
      <c r="E187" s="19">
        <f>SUM(H155)</f>
        <v>0</v>
      </c>
      <c r="F187" s="19">
        <f>SUM(H155)</f>
        <v>0</v>
      </c>
      <c r="G187" s="11"/>
      <c r="H187" s="28"/>
      <c r="I187" s="40" t="s">
        <v>26</v>
      </c>
      <c r="K187" s="11">
        <f>SUM(C187:F187)*30</f>
        <v>0</v>
      </c>
      <c r="L187" s="11">
        <f>SUM(C187:F187)*50</f>
        <v>0</v>
      </c>
    </row>
    <row r="188" spans="2:12" ht="15" customHeight="1" x14ac:dyDescent="0.25">
      <c r="B188" s="42" t="s">
        <v>120</v>
      </c>
      <c r="C188" s="19"/>
      <c r="D188" s="19">
        <f>SUM(H155)</f>
        <v>0</v>
      </c>
      <c r="E188" s="19"/>
      <c r="F188" s="19"/>
      <c r="G188" s="11"/>
      <c r="H188" s="28"/>
      <c r="I188" s="40" t="s">
        <v>67</v>
      </c>
      <c r="K188" s="11">
        <f>SUM(C188:F188)*350</f>
        <v>0</v>
      </c>
      <c r="L188" s="11">
        <f>SUM(C188:F188)*50</f>
        <v>0</v>
      </c>
    </row>
    <row r="189" spans="2:12" ht="15" customHeight="1" x14ac:dyDescent="0.25">
      <c r="B189" s="42" t="s">
        <v>219</v>
      </c>
      <c r="C189" s="19">
        <f>SUM(H155)</f>
        <v>0</v>
      </c>
      <c r="D189" s="19"/>
      <c r="E189" s="19"/>
      <c r="F189" s="19"/>
      <c r="G189" s="11"/>
      <c r="H189" s="28"/>
      <c r="I189" s="40" t="s">
        <v>274</v>
      </c>
      <c r="J189" s="11"/>
      <c r="K189" s="11">
        <f>SUM(35*H155)</f>
        <v>0</v>
      </c>
      <c r="L189" s="11">
        <f>SUM(C189:F189)*50</f>
        <v>0</v>
      </c>
    </row>
    <row r="190" spans="2:12" ht="15" customHeight="1" x14ac:dyDescent="0.25">
      <c r="B190" s="42" t="s">
        <v>220</v>
      </c>
      <c r="C190" s="19">
        <f>SUM(H155)</f>
        <v>0</v>
      </c>
      <c r="D190" s="19"/>
      <c r="E190" s="19"/>
      <c r="F190" s="19"/>
      <c r="G190" s="11"/>
      <c r="H190" s="28"/>
      <c r="I190" s="40" t="s">
        <v>274</v>
      </c>
      <c r="J190" s="11"/>
      <c r="K190" s="11">
        <f>SUM(35*H155)</f>
        <v>0</v>
      </c>
      <c r="L190" s="11">
        <f>SUM(C190:F190)*50</f>
        <v>0</v>
      </c>
    </row>
    <row r="191" spans="2:12" ht="15" customHeight="1" x14ac:dyDescent="0.25">
      <c r="B191" s="42" t="s">
        <v>121</v>
      </c>
      <c r="C191" s="19">
        <f>SUM(H155)</f>
        <v>0</v>
      </c>
      <c r="D191" s="19"/>
      <c r="E191" s="19"/>
      <c r="F191" s="19"/>
      <c r="G191" s="11"/>
      <c r="H191" s="28"/>
      <c r="I191" s="40" t="s">
        <v>275</v>
      </c>
      <c r="K191" s="11">
        <f>SUM(C191:F191)*35</f>
        <v>0</v>
      </c>
      <c r="L191" s="11">
        <f>SUM(C191:F191)*50</f>
        <v>0</v>
      </c>
    </row>
    <row r="192" spans="2:12" ht="15" customHeight="1" x14ac:dyDescent="0.25">
      <c r="B192" s="44" t="s">
        <v>206</v>
      </c>
      <c r="C192" s="19"/>
      <c r="D192" s="19"/>
      <c r="E192" s="19"/>
      <c r="F192" s="19"/>
      <c r="G192" s="39" t="s">
        <v>10</v>
      </c>
      <c r="H192" s="29"/>
      <c r="I192" s="40"/>
      <c r="J192" s="10">
        <f>SUM(50*H155)</f>
        <v>0</v>
      </c>
      <c r="K192" s="11"/>
      <c r="L192" s="11"/>
    </row>
    <row r="193" spans="2:12" ht="15" customHeight="1" x14ac:dyDescent="0.25">
      <c r="B193" s="42" t="s">
        <v>184</v>
      </c>
      <c r="C193" s="19"/>
      <c r="D193" s="19">
        <f>SUM(H155)</f>
        <v>0</v>
      </c>
      <c r="E193" s="19">
        <f>SUM(H155)</f>
        <v>0</v>
      </c>
      <c r="F193" s="19">
        <f>SUM(H155)</f>
        <v>0</v>
      </c>
      <c r="G193" s="11"/>
      <c r="H193" s="28"/>
      <c r="I193" s="40" t="s">
        <v>18</v>
      </c>
      <c r="J193" s="10">
        <f>SUM(50*H155)</f>
        <v>0</v>
      </c>
      <c r="K193" s="11"/>
      <c r="L193" s="11">
        <f>SUM(C193:F193)*50</f>
        <v>0</v>
      </c>
    </row>
    <row r="194" spans="2:12" ht="15" customHeight="1" x14ac:dyDescent="0.25">
      <c r="B194" s="42" t="s">
        <v>122</v>
      </c>
      <c r="C194" s="19">
        <f>SUM(H155)</f>
        <v>0</v>
      </c>
      <c r="D194" s="19"/>
      <c r="E194" s="19"/>
      <c r="F194" s="19"/>
      <c r="G194" s="11"/>
      <c r="H194" s="28"/>
      <c r="I194" s="40" t="s">
        <v>275</v>
      </c>
      <c r="K194" s="11">
        <f>SUM(C194:F194)*35</f>
        <v>0</v>
      </c>
      <c r="L194" s="11">
        <f>SUM(C194:F194)*50</f>
        <v>0</v>
      </c>
    </row>
    <row r="195" spans="2:12" ht="15" customHeight="1" x14ac:dyDescent="0.25">
      <c r="B195" s="42" t="s">
        <v>123</v>
      </c>
      <c r="C195" s="19"/>
      <c r="D195" s="19"/>
      <c r="E195" s="19">
        <f>SUM(H155)</f>
        <v>0</v>
      </c>
      <c r="F195" s="19"/>
      <c r="G195" s="11"/>
      <c r="H195" s="28"/>
      <c r="I195" s="40" t="s">
        <v>289</v>
      </c>
      <c r="K195" s="11">
        <f>SUM(C195:F195)*35</f>
        <v>0</v>
      </c>
      <c r="L195" s="11">
        <f>SUM(C195:F195)*50</f>
        <v>0</v>
      </c>
    </row>
    <row r="196" spans="2:12" ht="15" customHeight="1" x14ac:dyDescent="0.25">
      <c r="B196" s="44" t="s">
        <v>207</v>
      </c>
      <c r="C196" s="19"/>
      <c r="D196" s="19"/>
      <c r="E196" s="19"/>
      <c r="F196" s="19"/>
      <c r="G196" s="39" t="s">
        <v>10</v>
      </c>
      <c r="H196" s="29"/>
      <c r="I196" s="38"/>
      <c r="J196" s="10">
        <f>SUM(50*H155)</f>
        <v>0</v>
      </c>
      <c r="K196" s="11"/>
      <c r="L196" s="11"/>
    </row>
    <row r="197" spans="2:12" ht="15" customHeight="1" x14ac:dyDescent="0.25">
      <c r="B197" s="42" t="s">
        <v>184</v>
      </c>
      <c r="C197" s="19"/>
      <c r="D197" s="19">
        <f>SUM(H155)</f>
        <v>0</v>
      </c>
      <c r="E197" s="19">
        <f>SUM(H155)</f>
        <v>0</v>
      </c>
      <c r="F197" s="19">
        <f>SUM(H155)</f>
        <v>0</v>
      </c>
      <c r="G197" s="11"/>
      <c r="H197" s="28"/>
      <c r="I197" s="40" t="s">
        <v>18</v>
      </c>
      <c r="J197" s="10">
        <f>SUM(F197)*50</f>
        <v>0</v>
      </c>
      <c r="K197" s="11"/>
      <c r="L197" s="11">
        <f t="shared" ref="L197:L202" si="13">SUM(C197:F197)*50</f>
        <v>0</v>
      </c>
    </row>
    <row r="198" spans="2:12" ht="15" customHeight="1" x14ac:dyDescent="0.25">
      <c r="B198" s="42" t="s">
        <v>178</v>
      </c>
      <c r="C198" s="19"/>
      <c r="D198" s="19"/>
      <c r="E198" s="19">
        <f>SUM(H155)</f>
        <v>0</v>
      </c>
      <c r="F198" s="19"/>
      <c r="G198" s="11"/>
      <c r="H198" s="28"/>
      <c r="I198" s="40" t="s">
        <v>6</v>
      </c>
      <c r="J198" s="10">
        <f>SUM(F198)*50</f>
        <v>0</v>
      </c>
      <c r="K198" s="11">
        <f>SUM(C198:F198)*35</f>
        <v>0</v>
      </c>
      <c r="L198" s="11">
        <f t="shared" si="13"/>
        <v>0</v>
      </c>
    </row>
    <row r="199" spans="2:12" ht="15" customHeight="1" x14ac:dyDescent="0.25">
      <c r="B199" s="42" t="s">
        <v>124</v>
      </c>
      <c r="C199" s="19"/>
      <c r="D199" s="19">
        <f>SUM(H155)</f>
        <v>0</v>
      </c>
      <c r="E199" s="19"/>
      <c r="F199" s="19"/>
      <c r="G199" s="11"/>
      <c r="H199" s="28"/>
      <c r="I199" s="40" t="s">
        <v>125</v>
      </c>
      <c r="J199" s="10">
        <f>SUM(D199)*150</f>
        <v>0</v>
      </c>
      <c r="K199" s="11">
        <f>SUM(C199:F199)*450</f>
        <v>0</v>
      </c>
      <c r="L199" s="11">
        <f t="shared" si="13"/>
        <v>0</v>
      </c>
    </row>
    <row r="200" spans="2:12" ht="15" customHeight="1" x14ac:dyDescent="0.25">
      <c r="B200" s="42" t="s">
        <v>126</v>
      </c>
      <c r="C200" s="19">
        <f>SUM(H155)</f>
        <v>0</v>
      </c>
      <c r="D200" s="19"/>
      <c r="E200" s="19"/>
      <c r="F200" s="19"/>
      <c r="G200" s="11"/>
      <c r="H200" s="28"/>
      <c r="I200" s="40" t="s">
        <v>275</v>
      </c>
      <c r="K200" s="11">
        <f>SUM(C200:F200)*35</f>
        <v>0</v>
      </c>
      <c r="L200" s="11">
        <f t="shared" si="13"/>
        <v>0</v>
      </c>
    </row>
    <row r="201" spans="2:12" ht="15" customHeight="1" x14ac:dyDescent="0.25">
      <c r="B201" s="42" t="s">
        <v>127</v>
      </c>
      <c r="C201" s="19">
        <f>SUM(H155)</f>
        <v>0</v>
      </c>
      <c r="D201" s="19"/>
      <c r="E201" s="19"/>
      <c r="F201" s="19"/>
      <c r="G201" s="11"/>
      <c r="H201" s="28"/>
      <c r="I201" s="40" t="s">
        <v>275</v>
      </c>
      <c r="K201" s="11">
        <f>SUM(C201:F201)*35</f>
        <v>0</v>
      </c>
      <c r="L201" s="11">
        <f t="shared" si="13"/>
        <v>0</v>
      </c>
    </row>
    <row r="202" spans="2:12" ht="15" customHeight="1" x14ac:dyDescent="0.25">
      <c r="B202" s="42" t="s">
        <v>128</v>
      </c>
      <c r="C202" s="19"/>
      <c r="D202" s="19"/>
      <c r="E202" s="19"/>
      <c r="F202" s="19">
        <f>SUM(H155)</f>
        <v>0</v>
      </c>
      <c r="G202" s="11"/>
      <c r="H202" s="28"/>
      <c r="I202" s="40" t="s">
        <v>24</v>
      </c>
      <c r="J202" s="10">
        <f>SUM(F202)*50</f>
        <v>0</v>
      </c>
      <c r="K202" s="11">
        <f>SUM(C202:F202)*35</f>
        <v>0</v>
      </c>
      <c r="L202" s="11">
        <f t="shared" si="13"/>
        <v>0</v>
      </c>
    </row>
    <row r="203" spans="2:12" ht="15" customHeight="1" x14ac:dyDescent="0.25">
      <c r="B203" s="44" t="s">
        <v>208</v>
      </c>
      <c r="C203" s="19"/>
      <c r="D203" s="19"/>
      <c r="E203" s="19"/>
      <c r="F203" s="19"/>
      <c r="G203" s="39" t="s">
        <v>10</v>
      </c>
      <c r="H203" s="29"/>
      <c r="I203" s="40"/>
      <c r="J203" s="10">
        <f>SUM(350*H155)</f>
        <v>0</v>
      </c>
      <c r="K203" s="11"/>
      <c r="L203" s="11"/>
    </row>
    <row r="204" spans="2:12" ht="15" customHeight="1" x14ac:dyDescent="0.25">
      <c r="B204" s="40" t="s">
        <v>184</v>
      </c>
      <c r="C204" s="21"/>
      <c r="D204" s="21">
        <f>SUM(H155)</f>
        <v>0</v>
      </c>
      <c r="E204" s="21">
        <f>SUM(H155)</f>
        <v>0</v>
      </c>
      <c r="F204" s="21">
        <f>SUM(H155)</f>
        <v>0</v>
      </c>
      <c r="G204" s="11"/>
      <c r="H204" s="28"/>
      <c r="I204" s="40" t="s">
        <v>18</v>
      </c>
      <c r="J204" s="10">
        <f>SUM(E204)*50</f>
        <v>0</v>
      </c>
      <c r="K204" s="11">
        <f>SUM(C204:F204)*35</f>
        <v>0</v>
      </c>
      <c r="L204" s="11">
        <f t="shared" ref="L204:L225" si="14">SUM(C204:F204)*50</f>
        <v>0</v>
      </c>
    </row>
    <row r="205" spans="2:12" ht="15" customHeight="1" x14ac:dyDescent="0.25">
      <c r="B205" s="42" t="s">
        <v>176</v>
      </c>
      <c r="C205" s="19"/>
      <c r="D205" s="19"/>
      <c r="E205" s="19">
        <f>SUM(H155)</f>
        <v>0</v>
      </c>
      <c r="F205" s="19"/>
      <c r="G205" s="11"/>
      <c r="H205" s="28"/>
      <c r="I205" s="40" t="s">
        <v>177</v>
      </c>
      <c r="J205" s="10">
        <f>SUM(E205)*50</f>
        <v>0</v>
      </c>
      <c r="K205" s="11">
        <f>SUM(C205:F205)*120</f>
        <v>0</v>
      </c>
      <c r="L205" s="11">
        <f t="shared" si="14"/>
        <v>0</v>
      </c>
    </row>
    <row r="206" spans="2:12" ht="15" customHeight="1" x14ac:dyDescent="0.25">
      <c r="B206" s="42" t="s">
        <v>129</v>
      </c>
      <c r="C206" s="19"/>
      <c r="D206" s="19"/>
      <c r="E206" s="19">
        <f>SUM(H155)</f>
        <v>0</v>
      </c>
      <c r="F206" s="19"/>
      <c r="G206" s="11"/>
      <c r="H206" s="28"/>
      <c r="I206" s="40" t="s">
        <v>289</v>
      </c>
      <c r="J206" s="10">
        <f>SUM(E206)*50</f>
        <v>0</v>
      </c>
      <c r="K206" s="11">
        <f>SUM(C206:F206)*35</f>
        <v>0</v>
      </c>
      <c r="L206" s="11">
        <f t="shared" si="14"/>
        <v>0</v>
      </c>
    </row>
    <row r="207" spans="2:12" ht="15" customHeight="1" x14ac:dyDescent="0.25">
      <c r="B207" s="42" t="s">
        <v>130</v>
      </c>
      <c r="C207" s="19"/>
      <c r="D207" s="19">
        <f>SUM(H155)</f>
        <v>0</v>
      </c>
      <c r="E207" s="19"/>
      <c r="F207" s="19"/>
      <c r="G207" s="11"/>
      <c r="H207" s="28"/>
      <c r="I207" s="38" t="s">
        <v>66</v>
      </c>
      <c r="K207" s="11"/>
      <c r="L207" s="11">
        <f t="shared" si="14"/>
        <v>0</v>
      </c>
    </row>
    <row r="208" spans="2:12" ht="15" customHeight="1" x14ac:dyDescent="0.25">
      <c r="B208" s="42" t="s">
        <v>60</v>
      </c>
      <c r="C208" s="19">
        <f>SUM(H155)</f>
        <v>0</v>
      </c>
      <c r="D208" s="19"/>
      <c r="E208" s="19"/>
      <c r="F208" s="19"/>
      <c r="G208" s="11"/>
      <c r="H208" s="28"/>
      <c r="I208" s="40" t="s">
        <v>275</v>
      </c>
      <c r="K208" s="11">
        <f>SUM(C208:F208)*35</f>
        <v>0</v>
      </c>
      <c r="L208" s="11">
        <f t="shared" si="14"/>
        <v>0</v>
      </c>
    </row>
    <row r="209" spans="2:12" ht="15" customHeight="1" x14ac:dyDescent="0.25">
      <c r="B209" s="42" t="s">
        <v>131</v>
      </c>
      <c r="C209" s="19">
        <f>SUM(H155)*2</f>
        <v>0</v>
      </c>
      <c r="D209" s="19"/>
      <c r="E209" s="19"/>
      <c r="F209" s="19"/>
      <c r="G209" s="11"/>
      <c r="H209" s="28"/>
      <c r="I209" s="40" t="s">
        <v>13</v>
      </c>
      <c r="K209" s="11">
        <f>SUM(C209:F209)*150</f>
        <v>0</v>
      </c>
      <c r="L209" s="11">
        <f t="shared" si="14"/>
        <v>0</v>
      </c>
    </row>
    <row r="210" spans="2:12" ht="15" customHeight="1" x14ac:dyDescent="0.25">
      <c r="B210" s="42" t="s">
        <v>61</v>
      </c>
      <c r="C210" s="19">
        <f>SUM(H155)</f>
        <v>0</v>
      </c>
      <c r="D210" s="19"/>
      <c r="E210" s="19"/>
      <c r="F210" s="19"/>
      <c r="G210" s="11"/>
      <c r="H210" s="28"/>
      <c r="I210" s="40" t="s">
        <v>16</v>
      </c>
      <c r="K210" s="11">
        <f>SUM(C210:F210)*200</f>
        <v>0</v>
      </c>
      <c r="L210" s="11">
        <f t="shared" si="14"/>
        <v>0</v>
      </c>
    </row>
    <row r="211" spans="2:12" ht="15" customHeight="1" x14ac:dyDescent="0.25">
      <c r="B211" s="42" t="s">
        <v>132</v>
      </c>
      <c r="C211" s="19">
        <f>SUM(H155)</f>
        <v>0</v>
      </c>
      <c r="D211" s="19"/>
      <c r="E211" s="19"/>
      <c r="F211" s="19"/>
      <c r="G211" s="11"/>
      <c r="H211" s="28"/>
      <c r="I211" s="40" t="s">
        <v>19</v>
      </c>
      <c r="K211" s="11">
        <f>SUM(C211:F211)*200</f>
        <v>0</v>
      </c>
      <c r="L211" s="11">
        <f t="shared" si="14"/>
        <v>0</v>
      </c>
    </row>
    <row r="212" spans="2:12" ht="15" customHeight="1" x14ac:dyDescent="0.25">
      <c r="B212" s="42" t="s">
        <v>133</v>
      </c>
      <c r="C212" s="19">
        <f>SUM(H155)</f>
        <v>0</v>
      </c>
      <c r="D212" s="19"/>
      <c r="E212" s="19"/>
      <c r="F212" s="19"/>
      <c r="G212" s="11"/>
      <c r="H212" s="28"/>
      <c r="I212" s="40" t="s">
        <v>8</v>
      </c>
      <c r="K212" s="11">
        <f>SUM(C212:F212)*200</f>
        <v>0</v>
      </c>
      <c r="L212" s="11">
        <f t="shared" si="14"/>
        <v>0</v>
      </c>
    </row>
    <row r="213" spans="2:12" ht="15" customHeight="1" x14ac:dyDescent="0.25">
      <c r="B213" s="42" t="s">
        <v>134</v>
      </c>
      <c r="C213" s="19"/>
      <c r="D213" s="19"/>
      <c r="E213" s="19">
        <f>SUM(H155)</f>
        <v>0</v>
      </c>
      <c r="F213" s="19"/>
      <c r="G213" s="11"/>
      <c r="H213" s="28"/>
      <c r="I213" s="40" t="s">
        <v>14</v>
      </c>
      <c r="J213" s="10">
        <f>SUM(E213)*50</f>
        <v>0</v>
      </c>
      <c r="K213" s="11">
        <f>SUM(C213:F213)*200</f>
        <v>0</v>
      </c>
      <c r="L213" s="11">
        <f t="shared" si="14"/>
        <v>0</v>
      </c>
    </row>
    <row r="214" spans="2:12" ht="15" customHeight="1" x14ac:dyDescent="0.25">
      <c r="B214" s="42" t="s">
        <v>135</v>
      </c>
      <c r="C214" s="19">
        <f>SUM(H155)</f>
        <v>0</v>
      </c>
      <c r="D214" s="19"/>
      <c r="E214" s="19"/>
      <c r="F214" s="19"/>
      <c r="G214" s="11"/>
      <c r="H214" s="28"/>
      <c r="I214" s="40" t="s">
        <v>275</v>
      </c>
      <c r="K214" s="11">
        <f>SUM(C214:F214)*35</f>
        <v>0</v>
      </c>
      <c r="L214" s="11">
        <f t="shared" si="14"/>
        <v>0</v>
      </c>
    </row>
    <row r="215" spans="2:12" ht="15" customHeight="1" x14ac:dyDescent="0.25">
      <c r="B215" s="42" t="s">
        <v>136</v>
      </c>
      <c r="C215" s="19">
        <f>SUM(H155)*2</f>
        <v>0</v>
      </c>
      <c r="D215" s="19"/>
      <c r="E215" s="19"/>
      <c r="F215" s="19"/>
      <c r="G215" s="11"/>
      <c r="H215" s="28"/>
      <c r="I215" s="40" t="s">
        <v>13</v>
      </c>
      <c r="K215" s="11">
        <f>SUM(C215:F215)*150</f>
        <v>0</v>
      </c>
      <c r="L215" s="11">
        <f t="shared" si="14"/>
        <v>0</v>
      </c>
    </row>
    <row r="216" spans="2:12" ht="15" customHeight="1" x14ac:dyDescent="0.25">
      <c r="B216" s="42" t="s">
        <v>137</v>
      </c>
      <c r="C216" s="19">
        <f>SUM(H155)</f>
        <v>0</v>
      </c>
      <c r="D216" s="19"/>
      <c r="E216" s="19"/>
      <c r="F216" s="19"/>
      <c r="G216" s="11"/>
      <c r="H216" s="28"/>
      <c r="I216" s="40" t="s">
        <v>16</v>
      </c>
      <c r="K216" s="11">
        <f>SUM(C216:F216)*200</f>
        <v>0</v>
      </c>
      <c r="L216" s="11">
        <f t="shared" si="14"/>
        <v>0</v>
      </c>
    </row>
    <row r="217" spans="2:12" ht="15" customHeight="1" x14ac:dyDescent="0.25">
      <c r="B217" s="42" t="s">
        <v>138</v>
      </c>
      <c r="C217" s="19">
        <f>SUM(H155)</f>
        <v>0</v>
      </c>
      <c r="D217" s="19"/>
      <c r="E217" s="19"/>
      <c r="F217" s="19"/>
      <c r="G217" s="11"/>
      <c r="H217" s="28"/>
      <c r="I217" s="40" t="s">
        <v>19</v>
      </c>
      <c r="K217" s="11">
        <f>SUM(C217:F217)*200</f>
        <v>0</v>
      </c>
      <c r="L217" s="11">
        <f t="shared" si="14"/>
        <v>0</v>
      </c>
    </row>
    <row r="218" spans="2:12" ht="15" customHeight="1" x14ac:dyDescent="0.25">
      <c r="B218" s="42" t="s">
        <v>139</v>
      </c>
      <c r="C218" s="19">
        <f>SUM(H155)</f>
        <v>0</v>
      </c>
      <c r="D218" s="19"/>
      <c r="E218" s="19"/>
      <c r="F218" s="19"/>
      <c r="G218" s="11"/>
      <c r="H218" s="28"/>
      <c r="I218" s="40" t="s">
        <v>8</v>
      </c>
      <c r="K218" s="11">
        <f>SUM(C218:F218)*200</f>
        <v>0</v>
      </c>
      <c r="L218" s="11">
        <f t="shared" si="14"/>
        <v>0</v>
      </c>
    </row>
    <row r="219" spans="2:12" ht="15" customHeight="1" x14ac:dyDescent="0.25">
      <c r="B219" s="42" t="s">
        <v>140</v>
      </c>
      <c r="C219" s="19"/>
      <c r="D219" s="19"/>
      <c r="E219" s="19">
        <f>SUM(H155)</f>
        <v>0</v>
      </c>
      <c r="F219" s="19"/>
      <c r="G219" s="11"/>
      <c r="H219" s="28"/>
      <c r="I219" s="40" t="s">
        <v>14</v>
      </c>
      <c r="J219" s="10">
        <f>SUM(E219)*50</f>
        <v>0</v>
      </c>
      <c r="K219" s="11">
        <f>SUM(C219:F219)*200</f>
        <v>0</v>
      </c>
      <c r="L219" s="11">
        <f t="shared" si="14"/>
        <v>0</v>
      </c>
    </row>
    <row r="220" spans="2:12" ht="15" customHeight="1" x14ac:dyDescent="0.25">
      <c r="B220" s="42" t="s">
        <v>141</v>
      </c>
      <c r="C220" s="19">
        <f>SUM(H155)</f>
        <v>0</v>
      </c>
      <c r="D220" s="19"/>
      <c r="E220" s="19"/>
      <c r="F220" s="19"/>
      <c r="G220" s="11"/>
      <c r="H220" s="28"/>
      <c r="I220" s="40" t="s">
        <v>276</v>
      </c>
      <c r="K220" s="11">
        <f>SUM(35*H155)</f>
        <v>0</v>
      </c>
      <c r="L220" s="11">
        <f t="shared" si="14"/>
        <v>0</v>
      </c>
    </row>
    <row r="221" spans="2:12" ht="15" customHeight="1" x14ac:dyDescent="0.25">
      <c r="B221" s="42" t="s">
        <v>142</v>
      </c>
      <c r="C221" s="19">
        <f>SUM(H155)</f>
        <v>0</v>
      </c>
      <c r="D221" s="19"/>
      <c r="E221" s="19"/>
      <c r="F221" s="19"/>
      <c r="G221" s="11"/>
      <c r="H221" s="28"/>
      <c r="I221" s="40" t="s">
        <v>276</v>
      </c>
      <c r="K221" s="11">
        <f>SUM(35*H155)</f>
        <v>0</v>
      </c>
      <c r="L221" s="11">
        <f t="shared" si="14"/>
        <v>0</v>
      </c>
    </row>
    <row r="222" spans="2:12" ht="15" customHeight="1" x14ac:dyDescent="0.25">
      <c r="B222" s="42" t="s">
        <v>224</v>
      </c>
      <c r="C222" s="19">
        <f>SUM(H155)</f>
        <v>0</v>
      </c>
      <c r="D222" s="19"/>
      <c r="E222" s="19"/>
      <c r="F222" s="19"/>
      <c r="G222" s="11"/>
      <c r="H222" s="28"/>
      <c r="I222" s="40" t="s">
        <v>277</v>
      </c>
      <c r="K222" s="11">
        <f>SUM(C222:F222)*45</f>
        <v>0</v>
      </c>
      <c r="L222" s="11">
        <f t="shared" si="14"/>
        <v>0</v>
      </c>
    </row>
    <row r="223" spans="2:12" ht="15" customHeight="1" x14ac:dyDescent="0.25">
      <c r="B223" s="42" t="s">
        <v>225</v>
      </c>
      <c r="C223" s="19">
        <f>SUM(H155)</f>
        <v>0</v>
      </c>
      <c r="D223" s="19"/>
      <c r="E223" s="19"/>
      <c r="F223" s="19"/>
      <c r="G223" s="11"/>
      <c r="H223" s="28"/>
      <c r="I223" s="40" t="s">
        <v>277</v>
      </c>
      <c r="K223" s="11">
        <f>SUM(C223:F223)*45</f>
        <v>0</v>
      </c>
      <c r="L223" s="11">
        <f t="shared" si="14"/>
        <v>0</v>
      </c>
    </row>
    <row r="224" spans="2:12" ht="15" customHeight="1" x14ac:dyDescent="0.25">
      <c r="B224" s="42" t="s">
        <v>143</v>
      </c>
      <c r="C224" s="19">
        <f>SUM(H155)*2</f>
        <v>0</v>
      </c>
      <c r="D224" s="19"/>
      <c r="E224" s="19"/>
      <c r="F224" s="19"/>
      <c r="G224" s="11"/>
      <c r="H224" s="28"/>
      <c r="I224" s="40" t="s">
        <v>144</v>
      </c>
      <c r="K224" s="11">
        <f>SUM(C224:F224)*150</f>
        <v>0</v>
      </c>
      <c r="L224" s="11">
        <f t="shared" si="14"/>
        <v>0</v>
      </c>
    </row>
    <row r="225" spans="2:12" ht="15" customHeight="1" x14ac:dyDescent="0.25">
      <c r="B225" s="42" t="s">
        <v>145</v>
      </c>
      <c r="C225" s="19">
        <f>SUM(H155)*2</f>
        <v>0</v>
      </c>
      <c r="D225" s="19"/>
      <c r="E225" s="19"/>
      <c r="F225" s="19"/>
      <c r="G225" s="11"/>
      <c r="H225" s="28"/>
      <c r="I225" s="40" t="s">
        <v>144</v>
      </c>
      <c r="K225" s="11">
        <f t="shared" ref="K225:K226" si="15">SUM(C225:F225)*150</f>
        <v>0</v>
      </c>
      <c r="L225" s="11">
        <f t="shared" si="14"/>
        <v>0</v>
      </c>
    </row>
    <row r="226" spans="2:12" ht="15" customHeight="1" x14ac:dyDescent="0.25">
      <c r="B226" s="42" t="s">
        <v>240</v>
      </c>
      <c r="C226" s="19">
        <f>SUM(H155)*2</f>
        <v>0</v>
      </c>
      <c r="D226" s="19"/>
      <c r="E226" s="19"/>
      <c r="F226" s="19"/>
      <c r="G226" s="11"/>
      <c r="H226" s="28"/>
      <c r="I226" s="40" t="s">
        <v>272</v>
      </c>
      <c r="K226" s="11">
        <f t="shared" si="15"/>
        <v>0</v>
      </c>
      <c r="L226" s="11">
        <v>100</v>
      </c>
    </row>
    <row r="227" spans="2:12" ht="15" customHeight="1" x14ac:dyDescent="0.25">
      <c r="B227" s="42" t="s">
        <v>146</v>
      </c>
      <c r="C227" s="19"/>
      <c r="D227" s="19"/>
      <c r="E227" s="19">
        <f>SUM(H155)</f>
        <v>0</v>
      </c>
      <c r="F227" s="19"/>
      <c r="G227" s="11"/>
      <c r="H227" s="28"/>
      <c r="I227" s="40" t="s">
        <v>147</v>
      </c>
      <c r="J227" s="10">
        <f>SUM(E227)*50</f>
        <v>0</v>
      </c>
      <c r="K227" s="11">
        <f>SUM(C227:F227)*35</f>
        <v>0</v>
      </c>
      <c r="L227" s="11">
        <f t="shared" ref="L227:L235" si="16">SUM(C227:F227)*50</f>
        <v>0</v>
      </c>
    </row>
    <row r="228" spans="2:12" ht="15" customHeight="1" x14ac:dyDescent="0.25">
      <c r="B228" s="42" t="s">
        <v>209</v>
      </c>
      <c r="C228" s="19"/>
      <c r="D228" s="19"/>
      <c r="E228" s="19"/>
      <c r="F228" s="19"/>
      <c r="G228" s="17" t="s">
        <v>195</v>
      </c>
      <c r="H228" s="28"/>
      <c r="I228" s="40" t="s">
        <v>311</v>
      </c>
      <c r="J228" s="10">
        <f>SUM(350*H155)</f>
        <v>0</v>
      </c>
      <c r="K228" s="11">
        <f>SUM(C228:F228)*1800</f>
        <v>0</v>
      </c>
      <c r="L228" s="11">
        <f t="shared" si="16"/>
        <v>0</v>
      </c>
    </row>
    <row r="229" spans="2:12" ht="15" customHeight="1" x14ac:dyDescent="0.25">
      <c r="B229" s="40" t="s">
        <v>183</v>
      </c>
      <c r="C229" s="21"/>
      <c r="D229" s="21"/>
      <c r="E229" s="21">
        <f>SUM(H155)</f>
        <v>0</v>
      </c>
      <c r="F229" s="21">
        <f>SUM(H155)</f>
        <v>0</v>
      </c>
      <c r="G229" s="11"/>
      <c r="H229" s="28"/>
      <c r="I229" s="40" t="s">
        <v>18</v>
      </c>
      <c r="J229" s="10">
        <f>SUM(E229)*50</f>
        <v>0</v>
      </c>
      <c r="K229" s="11">
        <f>SUM(C229:F229)*35</f>
        <v>0</v>
      </c>
      <c r="L229" s="11">
        <f t="shared" si="16"/>
        <v>0</v>
      </c>
    </row>
    <row r="230" spans="2:12" ht="15" customHeight="1" x14ac:dyDescent="0.25">
      <c r="B230" s="40" t="s">
        <v>184</v>
      </c>
      <c r="C230" s="21"/>
      <c r="D230" s="21">
        <f>SUM(H155)</f>
        <v>0</v>
      </c>
      <c r="E230" s="21">
        <f>SUM(H155)</f>
        <v>0</v>
      </c>
      <c r="F230" s="21">
        <f>SUM(H155)</f>
        <v>0</v>
      </c>
      <c r="G230" s="11"/>
      <c r="H230" s="28"/>
      <c r="I230" s="40" t="s">
        <v>18</v>
      </c>
      <c r="J230" s="10">
        <f>SUM(E230)*50</f>
        <v>0</v>
      </c>
      <c r="K230" s="11">
        <f>SUM(C230:F230)*35</f>
        <v>0</v>
      </c>
      <c r="L230" s="11">
        <f t="shared" si="16"/>
        <v>0</v>
      </c>
    </row>
    <row r="231" spans="2:12" ht="15" customHeight="1" x14ac:dyDescent="0.25">
      <c r="B231" s="42" t="s">
        <v>63</v>
      </c>
      <c r="C231" s="19"/>
      <c r="D231" s="19"/>
      <c r="E231" s="19">
        <f>SUM(H155)</f>
        <v>0</v>
      </c>
      <c r="F231" s="19"/>
      <c r="G231" s="11"/>
      <c r="H231" s="28"/>
      <c r="I231" s="40" t="s">
        <v>289</v>
      </c>
      <c r="J231" s="10">
        <f>SUM(E231)*50</f>
        <v>0</v>
      </c>
      <c r="K231" s="11">
        <f>SUM(35*H155)</f>
        <v>0</v>
      </c>
      <c r="L231" s="11">
        <f t="shared" si="16"/>
        <v>0</v>
      </c>
    </row>
    <row r="232" spans="2:12" ht="15" customHeight="1" x14ac:dyDescent="0.25">
      <c r="B232" s="42" t="s">
        <v>210</v>
      </c>
      <c r="C232" s="19"/>
      <c r="D232" s="19"/>
      <c r="E232" s="19"/>
      <c r="F232" s="19"/>
      <c r="G232" s="17" t="s">
        <v>195</v>
      </c>
      <c r="H232" s="28"/>
      <c r="I232" s="40" t="s">
        <v>311</v>
      </c>
      <c r="J232" s="10">
        <f>SUM(350*H159)</f>
        <v>0</v>
      </c>
      <c r="K232" s="11">
        <f>SUM(C232:F232)*1800</f>
        <v>0</v>
      </c>
      <c r="L232" s="11">
        <f t="shared" ref="L232" si="17">SUM(C232:F232)*50</f>
        <v>0</v>
      </c>
    </row>
    <row r="233" spans="2:12" ht="15" customHeight="1" x14ac:dyDescent="0.25">
      <c r="B233" s="40" t="s">
        <v>183</v>
      </c>
      <c r="C233" s="21"/>
      <c r="D233" s="21"/>
      <c r="E233" s="21">
        <f>SUM(H155)</f>
        <v>0</v>
      </c>
      <c r="F233" s="21">
        <f>SUM(H155)</f>
        <v>0</v>
      </c>
      <c r="G233" s="11"/>
      <c r="H233" s="28"/>
      <c r="I233" s="40" t="s">
        <v>18</v>
      </c>
      <c r="J233" s="10">
        <f>SUM(E233)*50</f>
        <v>0</v>
      </c>
      <c r="K233" s="11">
        <f>SUM(C233:F233)*35</f>
        <v>0</v>
      </c>
      <c r="L233" s="11">
        <f t="shared" si="16"/>
        <v>0</v>
      </c>
    </row>
    <row r="234" spans="2:12" ht="15" customHeight="1" x14ac:dyDescent="0.25">
      <c r="B234" s="40" t="s">
        <v>184</v>
      </c>
      <c r="C234" s="21"/>
      <c r="D234" s="21">
        <f>SUM(H155)</f>
        <v>0</v>
      </c>
      <c r="E234" s="21">
        <f>SUM(H155)</f>
        <v>0</v>
      </c>
      <c r="F234" s="21">
        <f>SUM(H155)</f>
        <v>0</v>
      </c>
      <c r="G234" s="11"/>
      <c r="H234" s="28"/>
      <c r="I234" s="40" t="s">
        <v>18</v>
      </c>
      <c r="J234" s="10">
        <f>SUM(E234)*50</f>
        <v>0</v>
      </c>
      <c r="K234" s="11">
        <f>SUM(C234:F234)*35</f>
        <v>0</v>
      </c>
      <c r="L234" s="11">
        <f t="shared" si="16"/>
        <v>0</v>
      </c>
    </row>
    <row r="235" spans="2:12" ht="15" customHeight="1" x14ac:dyDescent="0.25">
      <c r="B235" s="42" t="s">
        <v>63</v>
      </c>
      <c r="C235" s="19"/>
      <c r="D235" s="19"/>
      <c r="E235" s="19">
        <f>SUM(H155)</f>
        <v>0</v>
      </c>
      <c r="F235" s="19"/>
      <c r="G235" s="11"/>
      <c r="H235" s="28"/>
      <c r="I235" s="40" t="s">
        <v>289</v>
      </c>
      <c r="J235" s="10">
        <f>SUM(E235)*50</f>
        <v>0</v>
      </c>
      <c r="K235" s="11">
        <f>SUM(35*H155)</f>
        <v>0</v>
      </c>
      <c r="L235" s="11">
        <f t="shared" si="16"/>
        <v>0</v>
      </c>
    </row>
    <row r="236" spans="2:12" ht="15" customHeight="1" thickBot="1" x14ac:dyDescent="0.3">
      <c r="B236" s="42"/>
      <c r="C236" s="19"/>
      <c r="D236" s="19"/>
      <c r="E236" s="19"/>
      <c r="F236" s="19"/>
      <c r="G236" s="11"/>
      <c r="H236" s="28"/>
      <c r="I236" s="40"/>
      <c r="K236" s="11"/>
      <c r="L236" s="11"/>
    </row>
    <row r="237" spans="2:12" ht="15" customHeight="1" thickBot="1" x14ac:dyDescent="0.3">
      <c r="B237" s="38" t="s">
        <v>242</v>
      </c>
      <c r="C237" s="19"/>
      <c r="D237" s="19"/>
      <c r="E237" s="19"/>
      <c r="F237" s="19"/>
      <c r="G237" s="11"/>
      <c r="H237" s="23"/>
      <c r="I237" s="40"/>
      <c r="K237" s="11"/>
      <c r="L237" s="11"/>
    </row>
    <row r="238" spans="2:12" ht="15" customHeight="1" x14ac:dyDescent="0.25">
      <c r="B238" s="42" t="s">
        <v>64</v>
      </c>
      <c r="C238" s="19"/>
      <c r="D238" s="19">
        <f>SUM(H237)</f>
        <v>0</v>
      </c>
      <c r="E238" s="19"/>
      <c r="F238" s="19"/>
      <c r="G238" s="11"/>
      <c r="H238" s="28"/>
      <c r="I238" s="38" t="s">
        <v>148</v>
      </c>
      <c r="K238" s="11">
        <f>SUM(C238:F238)*350</f>
        <v>0</v>
      </c>
      <c r="L238" s="11">
        <f>SUM(C238:F238)*50</f>
        <v>0</v>
      </c>
    </row>
    <row r="239" spans="2:12" ht="15" customHeight="1" x14ac:dyDescent="0.25">
      <c r="B239" s="42" t="s">
        <v>12</v>
      </c>
      <c r="C239" s="19">
        <f>SUM(H237)</f>
        <v>0</v>
      </c>
      <c r="D239" s="19"/>
      <c r="E239" s="19"/>
      <c r="F239" s="19"/>
      <c r="G239" s="11"/>
      <c r="H239" s="28"/>
      <c r="I239" s="40" t="s">
        <v>276</v>
      </c>
      <c r="K239" s="11">
        <f>SUM(35*H237)</f>
        <v>0</v>
      </c>
      <c r="L239" s="11">
        <f>SUM(C239:F239)*50</f>
        <v>0</v>
      </c>
    </row>
    <row r="240" spans="2:12" ht="15" customHeight="1" x14ac:dyDescent="0.25">
      <c r="B240" s="42" t="s">
        <v>60</v>
      </c>
      <c r="C240" s="19">
        <f>SUM(H237)</f>
        <v>0</v>
      </c>
      <c r="D240" s="19"/>
      <c r="E240" s="19"/>
      <c r="F240" s="19"/>
      <c r="G240" s="11"/>
      <c r="H240" s="28"/>
      <c r="I240" s="40" t="s">
        <v>275</v>
      </c>
      <c r="K240" s="11">
        <f>SUM(35*H237)</f>
        <v>0</v>
      </c>
      <c r="L240" s="11">
        <f>SUM(C240:F240)*50</f>
        <v>0</v>
      </c>
    </row>
    <row r="241" spans="2:12" ht="15" customHeight="1" thickBot="1" x14ac:dyDescent="0.3">
      <c r="B241" s="44"/>
      <c r="C241" s="19"/>
      <c r="D241" s="19"/>
      <c r="E241" s="19"/>
      <c r="F241" s="19"/>
      <c r="G241" s="11"/>
      <c r="H241" s="28"/>
      <c r="I241" s="40"/>
      <c r="K241" s="11"/>
      <c r="L241" s="11"/>
    </row>
    <row r="242" spans="2:12" ht="15" customHeight="1" thickBot="1" x14ac:dyDescent="0.3">
      <c r="B242" s="44" t="s">
        <v>196</v>
      </c>
      <c r="C242" s="19"/>
      <c r="D242" s="19"/>
      <c r="E242" s="19"/>
      <c r="F242" s="19"/>
      <c r="G242" s="39" t="s">
        <v>9</v>
      </c>
      <c r="H242" s="25"/>
      <c r="I242" s="40"/>
      <c r="K242" s="11"/>
      <c r="L242" s="11"/>
    </row>
    <row r="243" spans="2:12" ht="15" customHeight="1" x14ac:dyDescent="0.25">
      <c r="B243" s="40" t="s">
        <v>183</v>
      </c>
      <c r="C243" s="21"/>
      <c r="D243" s="21"/>
      <c r="E243" s="21">
        <f>SUM(H242)</f>
        <v>0</v>
      </c>
      <c r="F243" s="21">
        <f>SUM(H242)</f>
        <v>0</v>
      </c>
      <c r="G243" s="11"/>
      <c r="H243" s="28"/>
      <c r="I243" s="40" t="s">
        <v>26</v>
      </c>
      <c r="J243" s="10">
        <f>SUM(E243)*350</f>
        <v>0</v>
      </c>
      <c r="K243" s="11">
        <f>SUM(C243:F243)*35</f>
        <v>0</v>
      </c>
      <c r="L243" s="11">
        <f>SUM(C243:F243)*50</f>
        <v>0</v>
      </c>
    </row>
    <row r="244" spans="2:12" ht="15" customHeight="1" thickBot="1" x14ac:dyDescent="0.3">
      <c r="B244" s="44"/>
      <c r="C244" s="19"/>
      <c r="D244" s="19"/>
      <c r="E244" s="19"/>
      <c r="F244" s="19"/>
      <c r="G244" s="11"/>
      <c r="H244" s="28"/>
      <c r="I244" s="40"/>
      <c r="K244" s="11"/>
      <c r="L244" s="11"/>
    </row>
    <row r="245" spans="2:12" ht="15" customHeight="1" thickBot="1" x14ac:dyDescent="0.3">
      <c r="B245" s="38" t="s">
        <v>149</v>
      </c>
      <c r="C245" s="19"/>
      <c r="D245" s="19"/>
      <c r="E245" s="19"/>
      <c r="F245" s="19"/>
      <c r="G245" s="11"/>
      <c r="H245" s="23"/>
      <c r="I245" s="40"/>
      <c r="K245" s="11"/>
      <c r="L245" s="11"/>
    </row>
    <row r="246" spans="2:12" ht="15" customHeight="1" x14ac:dyDescent="0.25">
      <c r="B246" s="42" t="s">
        <v>150</v>
      </c>
      <c r="C246" s="19"/>
      <c r="D246" s="19"/>
      <c r="E246" s="19"/>
      <c r="F246" s="19">
        <f>SUM(H245)</f>
        <v>0</v>
      </c>
      <c r="G246" s="11"/>
      <c r="H246" s="28"/>
      <c r="I246" s="40" t="s">
        <v>18</v>
      </c>
      <c r="J246" s="11">
        <f>SUM(F246)*100</f>
        <v>0</v>
      </c>
      <c r="K246" s="11"/>
      <c r="L246" s="11">
        <f t="shared" ref="L246:L252" si="18">SUM(C246:F246)*50</f>
        <v>0</v>
      </c>
    </row>
    <row r="247" spans="2:12" ht="15" customHeight="1" x14ac:dyDescent="0.25">
      <c r="B247" s="42" t="s">
        <v>151</v>
      </c>
      <c r="C247" s="19"/>
      <c r="D247" s="19"/>
      <c r="E247" s="19">
        <f>SUM(H245)</f>
        <v>0</v>
      </c>
      <c r="F247" s="19"/>
      <c r="G247" s="11"/>
      <c r="H247" s="28"/>
      <c r="I247" s="40" t="s">
        <v>18</v>
      </c>
      <c r="J247" s="11">
        <f>SUM(E247)*100</f>
        <v>0</v>
      </c>
      <c r="K247" s="11"/>
      <c r="L247" s="11">
        <f t="shared" si="18"/>
        <v>0</v>
      </c>
    </row>
    <row r="248" spans="2:12" ht="15" customHeight="1" x14ac:dyDescent="0.25">
      <c r="B248" s="42"/>
      <c r="C248" s="19"/>
      <c r="D248" s="19"/>
      <c r="E248" s="19"/>
      <c r="F248" s="19"/>
      <c r="G248" s="11"/>
      <c r="H248" s="28"/>
      <c r="I248" s="40"/>
      <c r="K248" s="11"/>
      <c r="L248" s="11">
        <f t="shared" si="18"/>
        <v>0</v>
      </c>
    </row>
    <row r="249" spans="2:12" ht="15" customHeight="1" thickBot="1" x14ac:dyDescent="0.3">
      <c r="B249" s="38" t="s">
        <v>65</v>
      </c>
      <c r="C249" s="19"/>
      <c r="D249" s="19"/>
      <c r="E249" s="19"/>
      <c r="F249" s="19"/>
      <c r="G249" s="11"/>
      <c r="H249" s="28"/>
      <c r="I249" s="40"/>
      <c r="K249" s="11"/>
      <c r="L249" s="11">
        <f t="shared" si="18"/>
        <v>0</v>
      </c>
    </row>
    <row r="250" spans="2:12" ht="15" customHeight="1" thickBot="1" x14ac:dyDescent="0.3">
      <c r="B250" s="42" t="s">
        <v>153</v>
      </c>
      <c r="C250" s="19">
        <f>SUM(H249)</f>
        <v>0</v>
      </c>
      <c r="D250" s="19"/>
      <c r="E250" s="19"/>
      <c r="F250" s="19"/>
      <c r="G250" s="11"/>
      <c r="H250" s="23"/>
      <c r="I250" s="38" t="s">
        <v>66</v>
      </c>
      <c r="K250" s="11"/>
      <c r="L250" s="11">
        <f t="shared" si="18"/>
        <v>0</v>
      </c>
    </row>
    <row r="251" spans="2:12" ht="15" customHeight="1" thickBot="1" x14ac:dyDescent="0.3">
      <c r="B251" s="42" t="s">
        <v>152</v>
      </c>
      <c r="C251" s="19">
        <f>SUM(H249)</f>
        <v>0</v>
      </c>
      <c r="D251" s="19"/>
      <c r="E251" s="19"/>
      <c r="F251" s="19"/>
      <c r="G251" s="11"/>
      <c r="H251" s="23"/>
      <c r="I251" s="38" t="s">
        <v>66</v>
      </c>
      <c r="K251" s="11"/>
      <c r="L251" s="11">
        <f t="shared" si="18"/>
        <v>0</v>
      </c>
    </row>
    <row r="252" spans="2:12" ht="15" customHeight="1" thickBot="1" x14ac:dyDescent="0.3">
      <c r="B252" s="42" t="s">
        <v>154</v>
      </c>
      <c r="C252" s="19">
        <f>SUM(H249)</f>
        <v>0</v>
      </c>
      <c r="D252" s="19"/>
      <c r="E252" s="19"/>
      <c r="F252" s="19"/>
      <c r="G252" s="11"/>
      <c r="H252" s="23"/>
      <c r="I252" s="38" t="s">
        <v>66</v>
      </c>
      <c r="K252" s="11"/>
      <c r="L252" s="11">
        <f t="shared" si="18"/>
        <v>0</v>
      </c>
    </row>
    <row r="253" spans="2:12" ht="15" customHeight="1" x14ac:dyDescent="0.25">
      <c r="B253" s="42"/>
      <c r="C253" s="19"/>
      <c r="D253" s="19"/>
      <c r="E253" s="19"/>
      <c r="F253" s="19"/>
      <c r="G253" s="11"/>
      <c r="H253" s="28"/>
      <c r="I253" s="40"/>
      <c r="K253" s="11"/>
      <c r="L253" s="11"/>
    </row>
    <row r="254" spans="2:12" ht="15" customHeight="1" x14ac:dyDescent="0.25">
      <c r="B254" s="42" t="s">
        <v>155</v>
      </c>
      <c r="C254" s="19"/>
      <c r="D254" s="19"/>
      <c r="E254" s="19">
        <v>1</v>
      </c>
      <c r="F254" s="19"/>
      <c r="G254" s="11"/>
      <c r="H254" s="28"/>
      <c r="I254" s="40" t="s">
        <v>18</v>
      </c>
      <c r="J254" s="11">
        <f>SUM(E254)*150</f>
        <v>150</v>
      </c>
      <c r="K254" s="11"/>
      <c r="L254" s="11">
        <f>SUM(C254:F254)*50</f>
        <v>50</v>
      </c>
    </row>
    <row r="255" spans="2:12" ht="15" customHeight="1" thickBot="1" x14ac:dyDescent="0.3">
      <c r="B255" s="42"/>
      <c r="C255" s="19"/>
      <c r="D255" s="19"/>
      <c r="E255" s="19"/>
      <c r="F255" s="19"/>
      <c r="G255" s="11"/>
      <c r="H255" s="28"/>
      <c r="I255" s="40"/>
      <c r="K255" s="11"/>
      <c r="L255" s="11"/>
    </row>
    <row r="256" spans="2:12" ht="15" customHeight="1" thickBot="1" x14ac:dyDescent="0.3">
      <c r="B256" s="38" t="s">
        <v>172</v>
      </c>
      <c r="C256" s="19"/>
      <c r="D256" s="19"/>
      <c r="E256" s="19"/>
      <c r="F256" s="19"/>
      <c r="G256" s="11"/>
      <c r="H256" s="23"/>
      <c r="I256" s="40"/>
      <c r="K256" s="11"/>
      <c r="L256" s="11"/>
    </row>
    <row r="257" spans="2:12" ht="15" customHeight="1" x14ac:dyDescent="0.25">
      <c r="B257" s="42" t="s">
        <v>156</v>
      </c>
      <c r="C257" s="19"/>
      <c r="D257" s="19"/>
      <c r="E257" s="19">
        <f>SUM(H256)</f>
        <v>0</v>
      </c>
      <c r="F257" s="19"/>
      <c r="G257" s="11"/>
      <c r="H257" s="28"/>
      <c r="I257" s="40" t="s">
        <v>18</v>
      </c>
      <c r="J257" s="11">
        <f>SUM(E257)*50</f>
        <v>0</v>
      </c>
      <c r="K257" s="11"/>
      <c r="L257" s="11">
        <f>SUM(C257:F257)*50</f>
        <v>0</v>
      </c>
    </row>
    <row r="258" spans="2:12" ht="15" customHeight="1" x14ac:dyDescent="0.25">
      <c r="B258" s="42" t="s">
        <v>157</v>
      </c>
      <c r="C258" s="19"/>
      <c r="D258" s="19"/>
      <c r="E258" s="19">
        <f>SUM(H256)</f>
        <v>0</v>
      </c>
      <c r="F258" s="19"/>
      <c r="G258" s="11"/>
      <c r="H258" s="28"/>
      <c r="I258" s="40" t="s">
        <v>18</v>
      </c>
      <c r="J258" s="11">
        <f>SUM(E258)*50</f>
        <v>0</v>
      </c>
      <c r="K258" s="11"/>
      <c r="L258" s="11">
        <f>SUM(C258:F258)*50</f>
        <v>0</v>
      </c>
    </row>
    <row r="259" spans="2:12" ht="15" customHeight="1" x14ac:dyDescent="0.25">
      <c r="B259" s="42" t="s">
        <v>169</v>
      </c>
      <c r="C259" s="19"/>
      <c r="D259" s="19"/>
      <c r="E259" s="19">
        <f>SUM(H256)</f>
        <v>0</v>
      </c>
      <c r="F259" s="19"/>
      <c r="G259" s="11"/>
      <c r="H259" s="28"/>
      <c r="I259" s="40" t="s">
        <v>18</v>
      </c>
      <c r="J259" s="11">
        <f>SUM(E259)*50</f>
        <v>0</v>
      </c>
      <c r="K259" s="11"/>
      <c r="L259" s="11">
        <f>SUM(C259:F259)*50</f>
        <v>0</v>
      </c>
    </row>
    <row r="260" spans="2:12" ht="15" customHeight="1" x14ac:dyDescent="0.25">
      <c r="B260" s="42" t="s">
        <v>170</v>
      </c>
      <c r="C260" s="19"/>
      <c r="D260" s="19"/>
      <c r="E260" s="19">
        <f>SUM(H256)</f>
        <v>0</v>
      </c>
      <c r="F260" s="19"/>
      <c r="G260" s="11"/>
      <c r="H260" s="28"/>
      <c r="I260" s="40" t="s">
        <v>18</v>
      </c>
      <c r="J260" s="11">
        <f>SUM(E260)*135</f>
        <v>0</v>
      </c>
      <c r="K260" s="11"/>
      <c r="L260" s="11">
        <f>SUM(C260:F260)*50</f>
        <v>0</v>
      </c>
    </row>
    <row r="261" spans="2:12" ht="15" customHeight="1" x14ac:dyDescent="0.25">
      <c r="B261" s="42" t="s">
        <v>171</v>
      </c>
      <c r="C261" s="19"/>
      <c r="D261" s="19"/>
      <c r="E261" s="19">
        <f>SUM(H256)</f>
        <v>0</v>
      </c>
      <c r="F261" s="19"/>
      <c r="G261" s="11"/>
      <c r="H261" s="28"/>
      <c r="I261" s="40" t="s">
        <v>18</v>
      </c>
      <c r="J261" s="11">
        <f>SUM(E261)*135</f>
        <v>0</v>
      </c>
      <c r="K261" s="11"/>
      <c r="L261" s="11">
        <f>SUM(C261:F261)*50</f>
        <v>0</v>
      </c>
    </row>
    <row r="262" spans="2:12" ht="15" customHeight="1" thickBot="1" x14ac:dyDescent="0.3">
      <c r="B262" s="38"/>
      <c r="C262" s="19"/>
      <c r="D262" s="19"/>
      <c r="E262" s="19"/>
      <c r="F262" s="19"/>
      <c r="G262" s="11"/>
      <c r="H262" s="28"/>
      <c r="I262" s="40"/>
      <c r="K262" s="11"/>
      <c r="L262" s="11"/>
    </row>
    <row r="263" spans="2:12" ht="15" customHeight="1" thickBot="1" x14ac:dyDescent="0.3">
      <c r="B263" s="38" t="s">
        <v>286</v>
      </c>
      <c r="C263" s="19"/>
      <c r="D263" s="19"/>
      <c r="E263" s="19"/>
      <c r="F263" s="19"/>
      <c r="G263" s="39" t="s">
        <v>10</v>
      </c>
      <c r="H263" s="25"/>
      <c r="I263" s="40"/>
      <c r="J263" s="11">
        <f>SUM(H263)*150</f>
        <v>0</v>
      </c>
      <c r="K263" s="11"/>
      <c r="L263" s="11"/>
    </row>
    <row r="264" spans="2:12" ht="15" customHeight="1" x14ac:dyDescent="0.25">
      <c r="B264" s="42" t="s">
        <v>158</v>
      </c>
      <c r="C264" s="19"/>
      <c r="D264" s="19"/>
      <c r="E264" s="19"/>
      <c r="F264" s="19">
        <f>SUM(H263)</f>
        <v>0</v>
      </c>
      <c r="G264" s="11"/>
      <c r="H264" s="28"/>
      <c r="I264" s="40" t="s">
        <v>18</v>
      </c>
      <c r="J264" s="11"/>
      <c r="K264" s="11"/>
      <c r="L264" s="11">
        <f>SUM(C264:F264)*50</f>
        <v>0</v>
      </c>
    </row>
    <row r="265" spans="2:12" ht="15" customHeight="1" x14ac:dyDescent="0.25">
      <c r="B265" s="42" t="s">
        <v>159</v>
      </c>
      <c r="C265" s="19"/>
      <c r="D265" s="19"/>
      <c r="E265" s="19">
        <f>SUM(H263)</f>
        <v>0</v>
      </c>
      <c r="F265" s="19"/>
      <c r="G265" s="11"/>
      <c r="H265" s="28"/>
      <c r="I265" s="40" t="s">
        <v>26</v>
      </c>
      <c r="J265" s="11">
        <f>SUM(E265)*50</f>
        <v>0</v>
      </c>
      <c r="K265" s="11">
        <f>SUM(C265:F265)*35</f>
        <v>0</v>
      </c>
      <c r="L265" s="11">
        <f>SUM(C265:F265)*50</f>
        <v>0</v>
      </c>
    </row>
    <row r="266" spans="2:12" ht="15" customHeight="1" x14ac:dyDescent="0.25">
      <c r="B266" s="42" t="s">
        <v>160</v>
      </c>
      <c r="C266" s="19"/>
      <c r="D266" s="19">
        <f>SUM(H263)</f>
        <v>0</v>
      </c>
      <c r="E266" s="19"/>
      <c r="F266" s="19"/>
      <c r="G266" s="11"/>
      <c r="H266" s="28"/>
      <c r="I266" s="38" t="s">
        <v>161</v>
      </c>
      <c r="K266" s="11">
        <f>SUM(C266:F266)*200</f>
        <v>0</v>
      </c>
      <c r="L266" s="11">
        <f>SUM(C266:F266)*50</f>
        <v>0</v>
      </c>
    </row>
    <row r="267" spans="2:12" ht="15" customHeight="1" x14ac:dyDescent="0.25">
      <c r="B267" s="42" t="s">
        <v>12</v>
      </c>
      <c r="C267" s="19">
        <f>SUM(H263)</f>
        <v>0</v>
      </c>
      <c r="D267" s="19"/>
      <c r="E267" s="19"/>
      <c r="F267" s="19"/>
      <c r="G267" s="11"/>
      <c r="H267" s="28"/>
      <c r="I267" s="40" t="s">
        <v>276</v>
      </c>
      <c r="K267" s="11">
        <f>SUM(35*H263)</f>
        <v>0</v>
      </c>
      <c r="L267" s="11">
        <f>SUM(C267:F267)*50</f>
        <v>0</v>
      </c>
    </row>
    <row r="268" spans="2:12" ht="15" customHeight="1" thickBot="1" x14ac:dyDescent="0.3">
      <c r="B268" s="42"/>
      <c r="C268" s="19"/>
      <c r="D268" s="19"/>
      <c r="E268" s="19"/>
      <c r="F268" s="19"/>
      <c r="G268" s="11"/>
      <c r="H268" s="28"/>
      <c r="I268" s="40"/>
      <c r="K268" s="11"/>
      <c r="L268" s="11"/>
    </row>
    <row r="269" spans="2:12" ht="15" customHeight="1" thickBot="1" x14ac:dyDescent="0.3">
      <c r="B269" s="38" t="s">
        <v>287</v>
      </c>
      <c r="C269" s="19"/>
      <c r="D269" s="19"/>
      <c r="E269" s="19"/>
      <c r="F269" s="19"/>
      <c r="G269" s="39" t="s">
        <v>9</v>
      </c>
      <c r="H269" s="25"/>
      <c r="I269" s="40"/>
      <c r="J269" s="11">
        <f>SUM(H269)*350</f>
        <v>0</v>
      </c>
      <c r="K269" s="11"/>
      <c r="L269" s="11"/>
    </row>
    <row r="270" spans="2:12" ht="15" customHeight="1" x14ac:dyDescent="0.25">
      <c r="B270" s="42" t="s">
        <v>162</v>
      </c>
      <c r="C270" s="19"/>
      <c r="D270" s="19"/>
      <c r="E270" s="19"/>
      <c r="F270" s="19">
        <f>SUM(H269)</f>
        <v>0</v>
      </c>
      <c r="G270" s="11"/>
      <c r="H270" s="28"/>
      <c r="I270" s="40" t="s">
        <v>18</v>
      </c>
      <c r="K270" s="11"/>
      <c r="L270" s="11">
        <f>SUM(C270:F270)*50</f>
        <v>0</v>
      </c>
    </row>
    <row r="271" spans="2:12" ht="15" customHeight="1" x14ac:dyDescent="0.25">
      <c r="B271" s="42" t="s">
        <v>163</v>
      </c>
      <c r="C271" s="19"/>
      <c r="D271" s="19"/>
      <c r="E271" s="19">
        <f>SUM(H269)</f>
        <v>0</v>
      </c>
      <c r="F271" s="19"/>
      <c r="G271" s="11"/>
      <c r="H271" s="28"/>
      <c r="I271" s="40" t="s">
        <v>26</v>
      </c>
      <c r="J271" s="11">
        <f>SUM(E271)*50</f>
        <v>0</v>
      </c>
      <c r="K271" s="11">
        <f>SUM(C271:F271)*35</f>
        <v>0</v>
      </c>
      <c r="L271" s="11">
        <f>SUM(C271:F271)*50</f>
        <v>0</v>
      </c>
    </row>
    <row r="272" spans="2:12" ht="15" customHeight="1" x14ac:dyDescent="0.25">
      <c r="B272" s="42" t="s">
        <v>164</v>
      </c>
      <c r="C272" s="19"/>
      <c r="D272" s="19">
        <f>SUM(H269)</f>
        <v>0</v>
      </c>
      <c r="E272" s="19"/>
      <c r="F272" s="19"/>
      <c r="G272" s="11"/>
      <c r="H272" s="28"/>
      <c r="I272" s="38" t="s">
        <v>161</v>
      </c>
      <c r="K272" s="11">
        <f>SUM(C272:F272)*200</f>
        <v>0</v>
      </c>
      <c r="L272" s="11">
        <f>SUM(C272:F272)*50</f>
        <v>0</v>
      </c>
    </row>
    <row r="273" spans="2:12" ht="15" customHeight="1" x14ac:dyDescent="0.25">
      <c r="B273" s="42" t="s">
        <v>12</v>
      </c>
      <c r="C273" s="19">
        <f>SUM(H269)</f>
        <v>0</v>
      </c>
      <c r="D273" s="19"/>
      <c r="E273" s="19"/>
      <c r="F273" s="19"/>
      <c r="G273" s="11"/>
      <c r="H273" s="28"/>
      <c r="I273" s="40" t="s">
        <v>276</v>
      </c>
      <c r="K273" s="11">
        <f>SUM(5*H269)</f>
        <v>0</v>
      </c>
      <c r="L273" s="11">
        <f>SUM(C273:F273)*50</f>
        <v>0</v>
      </c>
    </row>
    <row r="274" spans="2:12" ht="15" customHeight="1" thickBot="1" x14ac:dyDescent="0.3">
      <c r="B274" s="42"/>
      <c r="C274" s="19"/>
      <c r="D274" s="19"/>
      <c r="E274" s="19"/>
      <c r="F274" s="19"/>
      <c r="G274" s="11"/>
      <c r="H274" s="28"/>
      <c r="I274" s="40"/>
      <c r="K274" s="11"/>
      <c r="L274" s="11"/>
    </row>
    <row r="275" spans="2:12" ht="15" customHeight="1" thickBot="1" x14ac:dyDescent="0.3">
      <c r="B275" s="38" t="s">
        <v>197</v>
      </c>
      <c r="C275" s="21"/>
      <c r="D275" s="21"/>
      <c r="E275" s="21"/>
      <c r="F275" s="21"/>
      <c r="G275" s="39" t="s">
        <v>9</v>
      </c>
      <c r="H275" s="25"/>
      <c r="I275" s="40" t="s">
        <v>18</v>
      </c>
      <c r="J275" s="10">
        <f>SUM(350*H275)</f>
        <v>0</v>
      </c>
      <c r="K275" s="11"/>
      <c r="L275" s="11"/>
    </row>
    <row r="276" spans="2:12" ht="15" customHeight="1" x14ac:dyDescent="0.25">
      <c r="B276" s="40" t="s">
        <v>40</v>
      </c>
      <c r="C276" s="21"/>
      <c r="D276" s="21"/>
      <c r="E276" s="21"/>
      <c r="F276" s="21">
        <f>SUM(H275)</f>
        <v>0</v>
      </c>
      <c r="G276" s="11"/>
      <c r="H276" s="28"/>
      <c r="I276" s="40" t="s">
        <v>18</v>
      </c>
      <c r="K276" s="11"/>
      <c r="L276" s="11">
        <f t="shared" ref="L276:L285" si="19">SUM(C276:F276)*50</f>
        <v>0</v>
      </c>
    </row>
    <row r="277" spans="2:12" ht="15" customHeight="1" x14ac:dyDescent="0.25">
      <c r="B277" s="40" t="s">
        <v>41</v>
      </c>
      <c r="C277" s="21"/>
      <c r="D277" s="21"/>
      <c r="E277" s="21">
        <f>SUM(H275)</f>
        <v>0</v>
      </c>
      <c r="F277" s="21"/>
      <c r="G277" s="11"/>
      <c r="H277" s="28"/>
      <c r="I277" s="40" t="s">
        <v>26</v>
      </c>
      <c r="J277" s="11">
        <f>SUM(E277)*50</f>
        <v>0</v>
      </c>
      <c r="K277" s="11">
        <f>SUM(C277:F277)*35</f>
        <v>0</v>
      </c>
      <c r="L277" s="11">
        <f t="shared" si="19"/>
        <v>0</v>
      </c>
    </row>
    <row r="278" spans="2:12" ht="15" customHeight="1" x14ac:dyDescent="0.25">
      <c r="B278" s="40" t="s">
        <v>33</v>
      </c>
      <c r="C278" s="21">
        <f>SUM(H275)</f>
        <v>0</v>
      </c>
      <c r="D278" s="21"/>
      <c r="E278" s="21"/>
      <c r="F278" s="21"/>
      <c r="G278" s="11"/>
      <c r="H278" s="28"/>
      <c r="I278" s="40" t="s">
        <v>274</v>
      </c>
      <c r="J278" s="11"/>
      <c r="K278" s="11">
        <f>SUM(35*H275)</f>
        <v>0</v>
      </c>
      <c r="L278" s="11">
        <f t="shared" si="19"/>
        <v>0</v>
      </c>
    </row>
    <row r="279" spans="2:12" ht="15" customHeight="1" x14ac:dyDescent="0.25">
      <c r="B279" s="40" t="s">
        <v>34</v>
      </c>
      <c r="C279" s="21">
        <f>SUM(H275)</f>
        <v>0</v>
      </c>
      <c r="D279" s="21"/>
      <c r="E279" s="21"/>
      <c r="F279" s="21"/>
      <c r="G279" s="11"/>
      <c r="H279" s="28"/>
      <c r="I279" s="40" t="s">
        <v>274</v>
      </c>
      <c r="J279" s="11"/>
      <c r="K279" s="11">
        <f>SUM(35*H275)</f>
        <v>0</v>
      </c>
      <c r="L279" s="11">
        <f t="shared" si="19"/>
        <v>0</v>
      </c>
    </row>
    <row r="280" spans="2:12" ht="15" customHeight="1" x14ac:dyDescent="0.25">
      <c r="B280" s="42" t="s">
        <v>179</v>
      </c>
      <c r="C280" s="19"/>
      <c r="D280" s="19">
        <f>SUM(H275)</f>
        <v>0</v>
      </c>
      <c r="E280" s="19"/>
      <c r="F280" s="19"/>
      <c r="G280" s="11"/>
      <c r="H280" s="28"/>
      <c r="I280" s="44" t="s">
        <v>67</v>
      </c>
      <c r="K280" s="11">
        <f>SUM(C280:F280)*250</f>
        <v>0</v>
      </c>
      <c r="L280" s="11">
        <f t="shared" si="19"/>
        <v>0</v>
      </c>
    </row>
    <row r="281" spans="2:12" ht="15" customHeight="1" thickBot="1" x14ac:dyDescent="0.3">
      <c r="B281" s="40"/>
      <c r="C281" s="21"/>
      <c r="D281" s="21"/>
      <c r="E281" s="21"/>
      <c r="F281" s="21"/>
      <c r="G281" s="11"/>
      <c r="H281" s="28"/>
      <c r="I281" s="38"/>
      <c r="K281" s="11">
        <f>SUM(C281:F281)*35</f>
        <v>0</v>
      </c>
      <c r="L281" s="11">
        <f t="shared" si="19"/>
        <v>0</v>
      </c>
    </row>
    <row r="282" spans="2:12" ht="15" customHeight="1" thickBot="1" x14ac:dyDescent="0.3">
      <c r="B282" s="38" t="s">
        <v>198</v>
      </c>
      <c r="C282" s="19"/>
      <c r="D282" s="19"/>
      <c r="E282" s="19"/>
      <c r="F282" s="19"/>
      <c r="G282" s="11"/>
      <c r="H282" s="23"/>
      <c r="I282" s="40"/>
      <c r="K282" s="11">
        <f>SUM(C282:F282)*35</f>
        <v>0</v>
      </c>
      <c r="L282" s="11">
        <f t="shared" si="19"/>
        <v>0</v>
      </c>
    </row>
    <row r="283" spans="2:12" ht="15" customHeight="1" x14ac:dyDescent="0.25">
      <c r="B283" s="40" t="s">
        <v>198</v>
      </c>
      <c r="C283" s="19"/>
      <c r="D283" s="19"/>
      <c r="E283" s="19"/>
      <c r="F283" s="19"/>
      <c r="G283" s="39" t="s">
        <v>10</v>
      </c>
      <c r="H283" s="29">
        <f>H282</f>
        <v>0</v>
      </c>
      <c r="I283" s="40"/>
      <c r="J283" s="11">
        <f>SUM(H282)*50</f>
        <v>0</v>
      </c>
      <c r="K283" s="11">
        <f>SUM(C283:F283)*35</f>
        <v>0</v>
      </c>
      <c r="L283" s="11">
        <f t="shared" si="19"/>
        <v>0</v>
      </c>
    </row>
    <row r="284" spans="2:12" ht="15" customHeight="1" x14ac:dyDescent="0.25">
      <c r="B284" s="42" t="s">
        <v>241</v>
      </c>
      <c r="C284" s="19"/>
      <c r="D284" s="19"/>
      <c r="E284" s="19">
        <f>SUM(H282)</f>
        <v>0</v>
      </c>
      <c r="F284" s="19"/>
      <c r="G284" s="11"/>
      <c r="H284" s="28">
        <f>H282</f>
        <v>0</v>
      </c>
      <c r="I284" s="40" t="s">
        <v>18</v>
      </c>
      <c r="J284" s="11">
        <f>SUM(E284)*50</f>
        <v>0</v>
      </c>
      <c r="K284" s="11"/>
      <c r="L284" s="11">
        <f t="shared" si="19"/>
        <v>0</v>
      </c>
    </row>
    <row r="285" spans="2:12" ht="15" customHeight="1" x14ac:dyDescent="0.25">
      <c r="B285" s="42"/>
      <c r="C285" s="19"/>
      <c r="D285" s="19"/>
      <c r="E285" s="19"/>
      <c r="F285" s="19"/>
      <c r="G285" s="11"/>
      <c r="H285" s="28">
        <f>H282</f>
        <v>0</v>
      </c>
      <c r="I285" s="40"/>
      <c r="K285" s="11">
        <f>SUM(C285:F285)*35</f>
        <v>0</v>
      </c>
      <c r="L285" s="11">
        <f t="shared" si="19"/>
        <v>0</v>
      </c>
    </row>
    <row r="286" spans="2:12" ht="15" customHeight="1" x14ac:dyDescent="0.25">
      <c r="B286" s="45"/>
      <c r="C286" s="46">
        <f>SUM(C2:C285)</f>
        <v>5</v>
      </c>
      <c r="D286" s="46">
        <f>SUM(D2:D285)</f>
        <v>0</v>
      </c>
      <c r="E286" s="46">
        <f>SUM(E2:E285)</f>
        <v>10</v>
      </c>
      <c r="F286" s="46">
        <f>SUM(F2:F285)</f>
        <v>0</v>
      </c>
      <c r="G286" s="46">
        <f>SUM(C286:F286)</f>
        <v>15</v>
      </c>
      <c r="H286" s="48">
        <v>1</v>
      </c>
      <c r="I286" s="45"/>
      <c r="L286" s="11"/>
    </row>
    <row r="287" spans="2:12" ht="13.2" x14ac:dyDescent="0.25">
      <c r="H287" s="49">
        <v>1</v>
      </c>
      <c r="J287" s="15">
        <f>SUM(J1:J286)</f>
        <v>500</v>
      </c>
      <c r="K287" s="15">
        <f>SUM(K1:K286)</f>
        <v>1170</v>
      </c>
      <c r="L287" s="15">
        <f>SUM(L1:L286)</f>
        <v>850</v>
      </c>
    </row>
    <row r="288" spans="2:12" ht="13.2" x14ac:dyDescent="0.25">
      <c r="H288" s="49">
        <v>1</v>
      </c>
      <c r="K288" s="15">
        <f>SUM(K287)/0.8</f>
        <v>1462.5</v>
      </c>
      <c r="L288" s="10" t="s">
        <v>266</v>
      </c>
    </row>
    <row r="289" spans="2:13" ht="13.2" x14ac:dyDescent="0.25">
      <c r="B289" s="5" t="s">
        <v>243</v>
      </c>
      <c r="C289" s="5" t="s">
        <v>244</v>
      </c>
      <c r="H289" s="49">
        <v>1</v>
      </c>
    </row>
    <row r="290" spans="2:13" ht="13.2" x14ac:dyDescent="0.25">
      <c r="B290" s="5" t="s">
        <v>245</v>
      </c>
      <c r="C290" s="5">
        <v>1</v>
      </c>
      <c r="H290" s="49">
        <v>1</v>
      </c>
      <c r="K290" s="10">
        <f>SUM(C290)*1980</f>
        <v>1980</v>
      </c>
      <c r="L290" s="10">
        <v>1070</v>
      </c>
      <c r="M290" s="2" t="s">
        <v>246</v>
      </c>
    </row>
    <row r="291" spans="2:13" ht="13.2" x14ac:dyDescent="0.25">
      <c r="B291" s="5" t="s">
        <v>291</v>
      </c>
      <c r="C291" s="5">
        <v>1</v>
      </c>
      <c r="H291" s="49">
        <v>1</v>
      </c>
      <c r="K291" s="10">
        <f>SUM(C291)*350</f>
        <v>350</v>
      </c>
    </row>
    <row r="292" spans="2:13" ht="13.2" x14ac:dyDescent="0.25">
      <c r="B292" s="5" t="s">
        <v>292</v>
      </c>
      <c r="C292" s="5">
        <v>1</v>
      </c>
      <c r="H292" s="49">
        <v>1</v>
      </c>
      <c r="K292" s="10">
        <f>SUM(C292)*900</f>
        <v>900</v>
      </c>
    </row>
    <row r="293" spans="2:13" ht="13.2" x14ac:dyDescent="0.25">
      <c r="H293" s="49">
        <v>1</v>
      </c>
    </row>
    <row r="294" spans="2:13" ht="13.2" x14ac:dyDescent="0.25">
      <c r="B294" s="5" t="s">
        <v>247</v>
      </c>
      <c r="H294" s="49">
        <v>1</v>
      </c>
      <c r="J294" s="10" t="s">
        <v>248</v>
      </c>
      <c r="K294" s="16">
        <f>SUM(K290:K293)</f>
        <v>3230</v>
      </c>
    </row>
    <row r="295" spans="2:13" ht="13.2" x14ac:dyDescent="0.25">
      <c r="B295" s="5" t="s">
        <v>294</v>
      </c>
      <c r="C295" s="54">
        <f>SUM(J287)</f>
        <v>500</v>
      </c>
      <c r="D295" s="54"/>
      <c r="E295" s="54"/>
      <c r="H295" s="49">
        <v>1</v>
      </c>
    </row>
    <row r="296" spans="2:13" ht="13.2" x14ac:dyDescent="0.25">
      <c r="B296" s="5" t="s">
        <v>249</v>
      </c>
      <c r="C296" s="54">
        <f>SUM(K288)</f>
        <v>1462.5</v>
      </c>
      <c r="D296" s="54"/>
      <c r="E296" s="54"/>
      <c r="H296" s="49">
        <v>1</v>
      </c>
      <c r="J296" s="10" t="s">
        <v>250</v>
      </c>
      <c r="K296" s="10">
        <v>19275</v>
      </c>
    </row>
    <row r="297" spans="2:13" ht="13.2" x14ac:dyDescent="0.25">
      <c r="B297" s="5" t="s">
        <v>251</v>
      </c>
      <c r="C297" s="54">
        <f>SUM(K294)</f>
        <v>3230</v>
      </c>
      <c r="D297" s="54"/>
      <c r="E297" s="54"/>
      <c r="H297" s="49">
        <v>1</v>
      </c>
    </row>
    <row r="298" spans="2:13" ht="13.2" x14ac:dyDescent="0.25">
      <c r="B298" s="5" t="s">
        <v>252</v>
      </c>
      <c r="C298" s="54">
        <f>SUM(G286)*50</f>
        <v>750</v>
      </c>
      <c r="D298" s="54"/>
      <c r="E298" s="54"/>
      <c r="H298" s="49">
        <v>1</v>
      </c>
    </row>
    <row r="299" spans="2:13" ht="13.2" x14ac:dyDescent="0.25">
      <c r="B299" s="5" t="s">
        <v>295</v>
      </c>
      <c r="C299" s="54">
        <f>SUM(G287)*50</f>
        <v>0</v>
      </c>
      <c r="D299" s="54"/>
      <c r="E299" s="54"/>
      <c r="H299" s="49">
        <v>1</v>
      </c>
    </row>
    <row r="300" spans="2:13" ht="13.2" x14ac:dyDescent="0.25">
      <c r="H300" s="49">
        <v>1</v>
      </c>
    </row>
    <row r="301" spans="2:13" ht="13.2" x14ac:dyDescent="0.25">
      <c r="B301" s="5" t="s">
        <v>253</v>
      </c>
      <c r="C301" s="54">
        <f>SUM(C295:E299)</f>
        <v>5942.5</v>
      </c>
      <c r="D301" s="54"/>
      <c r="E301" s="54"/>
      <c r="H301" s="49">
        <v>1</v>
      </c>
      <c r="I301" s="14"/>
      <c r="J301" s="2"/>
      <c r="K301" s="2"/>
      <c r="L301" s="2"/>
    </row>
    <row r="302" spans="2:13" ht="13.2" x14ac:dyDescent="0.25">
      <c r="B302" s="2"/>
      <c r="C302" s="2"/>
      <c r="D302" s="2"/>
      <c r="E302" s="2"/>
      <c r="F302" s="2"/>
      <c r="G302" s="2"/>
      <c r="H302" s="49">
        <v>1</v>
      </c>
      <c r="I302" s="2"/>
      <c r="J302" s="2"/>
      <c r="K302" s="2"/>
      <c r="L302" s="2"/>
    </row>
    <row r="303" spans="2:13" ht="13.2" x14ac:dyDescent="0.25">
      <c r="B303" s="2" t="s">
        <v>254</v>
      </c>
      <c r="C303" s="2"/>
      <c r="D303" s="2"/>
      <c r="E303" s="2"/>
      <c r="F303" s="2"/>
      <c r="G303" s="2"/>
      <c r="H303" s="49">
        <v>1</v>
      </c>
      <c r="I303" s="2"/>
      <c r="J303" s="2"/>
      <c r="K303" s="2"/>
      <c r="L303" s="2"/>
    </row>
    <row r="304" spans="2:13" ht="13.2" x14ac:dyDescent="0.25">
      <c r="B304" s="2"/>
      <c r="C304" s="2"/>
      <c r="D304" s="2"/>
      <c r="E304" s="2"/>
      <c r="F304" s="2"/>
      <c r="G304" s="2"/>
      <c r="H304" s="49">
        <v>1</v>
      </c>
      <c r="I304" s="2"/>
      <c r="J304" s="2"/>
      <c r="K304" s="2"/>
      <c r="L304" s="2"/>
    </row>
    <row r="305" spans="2:12" ht="13.2" x14ac:dyDescent="0.25">
      <c r="B305" s="2" t="s">
        <v>268</v>
      </c>
      <c r="C305" s="2"/>
      <c r="D305" s="2"/>
      <c r="E305" s="2"/>
      <c r="F305" s="2"/>
      <c r="G305" s="2"/>
      <c r="H305" s="49">
        <v>1</v>
      </c>
      <c r="I305" s="2"/>
      <c r="J305" s="2"/>
      <c r="K305" s="2"/>
      <c r="L305" s="2"/>
    </row>
    <row r="306" spans="2:12" ht="13.2" x14ac:dyDescent="0.25">
      <c r="B306" s="2" t="s">
        <v>255</v>
      </c>
      <c r="C306" s="2"/>
      <c r="D306" s="2"/>
      <c r="E306" s="2"/>
      <c r="F306" s="2"/>
      <c r="G306" s="2"/>
      <c r="H306" s="49">
        <v>1</v>
      </c>
      <c r="I306" s="2"/>
      <c r="J306" s="2"/>
      <c r="K306" s="2"/>
      <c r="L306" s="2"/>
    </row>
    <row r="307" spans="2:12" ht="13.2" x14ac:dyDescent="0.25">
      <c r="B307" s="2" t="s">
        <v>256</v>
      </c>
      <c r="C307" s="2"/>
      <c r="D307" s="2"/>
      <c r="E307" s="2"/>
      <c r="F307" s="2"/>
      <c r="G307" s="2"/>
      <c r="H307" s="49">
        <v>1</v>
      </c>
      <c r="I307" s="2"/>
      <c r="J307" s="2"/>
      <c r="K307" s="2"/>
      <c r="L307" s="2"/>
    </row>
    <row r="308" spans="2:12" ht="13.2" x14ac:dyDescent="0.25">
      <c r="B308" s="2" t="s">
        <v>257</v>
      </c>
      <c r="C308" s="2"/>
      <c r="D308" s="2"/>
      <c r="E308" s="2"/>
      <c r="F308" s="2"/>
      <c r="G308" s="2"/>
      <c r="H308" s="49">
        <v>1</v>
      </c>
      <c r="I308" s="2"/>
      <c r="J308" s="2"/>
      <c r="K308" s="2"/>
      <c r="L308" s="2"/>
    </row>
    <row r="309" spans="2:12" ht="13.2" x14ac:dyDescent="0.25">
      <c r="B309" s="2" t="s">
        <v>258</v>
      </c>
      <c r="C309" s="2"/>
      <c r="D309" s="2"/>
      <c r="E309" s="2"/>
      <c r="F309" s="2"/>
      <c r="G309" s="2"/>
      <c r="H309" s="50">
        <v>1</v>
      </c>
      <c r="I309" s="2"/>
      <c r="J309" s="2"/>
      <c r="K309" s="2"/>
      <c r="L309" s="2"/>
    </row>
    <row r="310" spans="2:12" ht="13.2" x14ac:dyDescent="0.25">
      <c r="B310" s="2" t="s">
        <v>259</v>
      </c>
      <c r="C310" s="2"/>
      <c r="D310" s="2"/>
      <c r="E310" s="2"/>
      <c r="F310" s="2"/>
      <c r="G310" s="2"/>
      <c r="H310" s="50">
        <v>1</v>
      </c>
      <c r="I310" s="2"/>
      <c r="J310" s="2"/>
      <c r="K310" s="2"/>
      <c r="L310" s="2"/>
    </row>
    <row r="311" spans="2:12" ht="13.2" x14ac:dyDescent="0.25">
      <c r="B311" s="2" t="s">
        <v>265</v>
      </c>
      <c r="C311" s="2"/>
      <c r="D311" s="2"/>
      <c r="E311" s="2"/>
      <c r="F311" s="2"/>
      <c r="G311" s="2"/>
      <c r="H311" s="50">
        <v>1</v>
      </c>
      <c r="I311" s="2"/>
      <c r="J311" s="2"/>
      <c r="K311" s="2"/>
      <c r="L311" s="2"/>
    </row>
    <row r="312" spans="2:12" ht="13.2" x14ac:dyDescent="0.25">
      <c r="B312" s="2"/>
      <c r="C312" s="2"/>
      <c r="D312" s="2"/>
      <c r="E312" s="2"/>
      <c r="F312" s="2"/>
      <c r="G312" s="2"/>
      <c r="H312" s="50">
        <v>1</v>
      </c>
      <c r="I312" s="2"/>
      <c r="J312" s="2"/>
      <c r="K312" s="2"/>
      <c r="L312" s="2"/>
    </row>
    <row r="313" spans="2:12" ht="13.2" x14ac:dyDescent="0.25">
      <c r="B313" s="2" t="s">
        <v>260</v>
      </c>
      <c r="C313" s="2"/>
      <c r="D313" s="2"/>
      <c r="E313" s="2"/>
      <c r="F313" s="2"/>
      <c r="G313" s="2"/>
      <c r="H313" s="50">
        <v>1</v>
      </c>
      <c r="I313" s="2"/>
      <c r="J313" s="2"/>
      <c r="K313" s="2"/>
      <c r="L313" s="2"/>
    </row>
    <row r="314" spans="2:12" ht="13.2" x14ac:dyDescent="0.25">
      <c r="B314" s="2" t="s">
        <v>261</v>
      </c>
      <c r="C314" s="2"/>
      <c r="D314" s="2"/>
      <c r="E314" s="2"/>
      <c r="F314" s="2"/>
      <c r="G314" s="2"/>
      <c r="H314" s="50">
        <v>1</v>
      </c>
      <c r="I314" s="2"/>
      <c r="J314" s="2"/>
      <c r="K314" s="2"/>
      <c r="L314" s="2"/>
    </row>
    <row r="315" spans="2:12" ht="13.2" x14ac:dyDescent="0.25">
      <c r="B315" s="2" t="s">
        <v>262</v>
      </c>
      <c r="C315" s="2"/>
      <c r="D315" s="2"/>
      <c r="E315" s="2"/>
      <c r="F315" s="2"/>
      <c r="G315" s="2"/>
      <c r="H315" s="13"/>
      <c r="I315" s="2"/>
      <c r="J315" s="2"/>
      <c r="K315" s="2"/>
      <c r="L315" s="2"/>
    </row>
    <row r="316" spans="2:12" ht="13.2" x14ac:dyDescent="0.25">
      <c r="B316" s="2" t="s">
        <v>267</v>
      </c>
      <c r="C316" s="2"/>
      <c r="D316" s="2"/>
      <c r="E316" s="2"/>
      <c r="F316" s="2"/>
      <c r="G316" s="2"/>
      <c r="H316" s="13"/>
      <c r="I316" s="2"/>
      <c r="J316" s="2"/>
      <c r="K316" s="2"/>
      <c r="L316" s="2"/>
    </row>
    <row r="317" spans="2:12" ht="13.2" x14ac:dyDescent="0.25">
      <c r="B317" s="2" t="s">
        <v>263</v>
      </c>
      <c r="C317" s="2"/>
      <c r="D317" s="2"/>
      <c r="E317" s="2"/>
      <c r="F317" s="2"/>
      <c r="G317" s="2"/>
      <c r="H317" s="13"/>
      <c r="I317" s="2"/>
      <c r="J317" s="2"/>
      <c r="K317" s="2"/>
      <c r="L317" s="2"/>
    </row>
    <row r="318" spans="2:12" ht="13.2" x14ac:dyDescent="0.25">
      <c r="B318" s="2" t="s">
        <v>264</v>
      </c>
      <c r="C318" s="2"/>
      <c r="D318" s="2"/>
      <c r="E318" s="2"/>
      <c r="F318" s="2"/>
      <c r="G318" s="2"/>
      <c r="H318" s="13"/>
      <c r="I318" s="2"/>
      <c r="J318" s="2"/>
      <c r="K318" s="2"/>
      <c r="L318" s="2"/>
    </row>
    <row r="319" spans="2:12" ht="13.2" x14ac:dyDescent="0.25">
      <c r="B319" s="53" t="s">
        <v>300</v>
      </c>
      <c r="C319" s="53"/>
      <c r="D319" s="53"/>
      <c r="E319" s="53"/>
      <c r="F319" s="53"/>
      <c r="G319" s="53"/>
      <c r="H319" s="53"/>
      <c r="I319" s="53"/>
      <c r="J319" s="2"/>
      <c r="K319" s="2"/>
      <c r="L319" s="2"/>
    </row>
  </sheetData>
  <mergeCells count="15">
    <mergeCell ref="J5:L5"/>
    <mergeCell ref="C295:E295"/>
    <mergeCell ref="C296:E296"/>
    <mergeCell ref="C297:E297"/>
    <mergeCell ref="C298:E298"/>
    <mergeCell ref="B1:H1"/>
    <mergeCell ref="C3:D3"/>
    <mergeCell ref="C2:D2"/>
    <mergeCell ref="B319:I319"/>
    <mergeCell ref="C301:E301"/>
    <mergeCell ref="C299:E299"/>
    <mergeCell ref="E2:F2"/>
    <mergeCell ref="E3:F3"/>
    <mergeCell ref="G3:I3"/>
    <mergeCell ref="G2:I2"/>
  </mergeCells>
  <printOptions horizontalCentered="1" gridLines="1"/>
  <pageMargins left="0.23622047244094491" right="0.23622047244094491" top="3.937007874015748E-2" bottom="0.35433070866141736" header="0.15748031496062992" footer="0.15748031496062992"/>
  <pageSetup paperSize="9" scale="91" orientation="portrait" r:id="rId1"/>
  <headerFooter>
    <oddFooter>&amp;CPage &amp;P of &amp;N</oddFooter>
  </headerFooter>
  <rowBreaks count="1" manualBreakCount="1">
    <brk id="187" min="1" max="8" man="1"/>
  </rowBreak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42EC19E14854DB4616BA4C6149DFA" ma:contentTypeVersion="18" ma:contentTypeDescription="Create a new document." ma:contentTypeScope="" ma:versionID="de98c65e380a4b7b17addce5f69db122">
  <xsd:schema xmlns:xsd="http://www.w3.org/2001/XMLSchema" xmlns:xs="http://www.w3.org/2001/XMLSchema" xmlns:p="http://schemas.microsoft.com/office/2006/metadata/properties" xmlns:ns2="76ff7642-071f-4289-832e-ee47629eefc2" xmlns:ns3="ee71c387-5292-44ec-b311-078a148ffa76" targetNamespace="http://schemas.microsoft.com/office/2006/metadata/properties" ma:root="true" ma:fieldsID="9104a5f73e0a611feea375aeb0ded7d2" ns2:_="" ns3:_="">
    <xsd:import namespace="76ff7642-071f-4289-832e-ee47629eefc2"/>
    <xsd:import namespace="ee71c387-5292-44ec-b311-078a148ffa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ff7642-071f-4289-832e-ee47629ee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359873a-0084-4d44-a7a7-deef53f1a4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1c387-5292-44ec-b311-078a148ffa7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ce33a13-7e02-448c-b01b-ffebb8cb272c}" ma:internalName="TaxCatchAll" ma:showField="CatchAllData" ma:web="ee71c387-5292-44ec-b311-078a148ffa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ff7642-071f-4289-832e-ee47629eefc2">
      <Terms xmlns="http://schemas.microsoft.com/office/infopath/2007/PartnerControls"/>
    </lcf76f155ced4ddcb4097134ff3c332f>
    <TaxCatchAll xmlns="ee71c387-5292-44ec-b311-078a148ffa76" xsi:nil="true"/>
  </documentManagement>
</p:properties>
</file>

<file path=customXml/itemProps1.xml><?xml version="1.0" encoding="utf-8"?>
<ds:datastoreItem xmlns:ds="http://schemas.openxmlformats.org/officeDocument/2006/customXml" ds:itemID="{F71FFBBF-81E8-41ED-8259-87B7DEA82F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F812B8-D958-4657-B404-F7FAC49B8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ff7642-071f-4289-832e-ee47629eefc2"/>
    <ds:schemaRef ds:uri="ee71c387-5292-44ec-b311-078a148ffa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46672B-E9D2-4CE5-909C-9531E643C830}">
  <ds:schemaRefs>
    <ds:schemaRef ds:uri="http://schemas.microsoft.com/office/2006/metadata/properties"/>
    <ds:schemaRef ds:uri="http://schemas.microsoft.com/office/infopath/2007/PartnerControls"/>
    <ds:schemaRef ds:uri="76ff7642-071f-4289-832e-ee47629eefc2"/>
    <ds:schemaRef ds:uri="ee71c387-5292-44ec-b311-078a148ffa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Points List</vt:lpstr>
      <vt:lpstr>'Points List'!Print_Area</vt:lpstr>
      <vt:lpstr>'Points List'!Print_Titles</vt:lpstr>
    </vt:vector>
  </TitlesOfParts>
  <Company>DC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CURRY</dc:creator>
  <cp:lastModifiedBy>Paulo Pinhal</cp:lastModifiedBy>
  <cp:lastPrinted>2024-10-05T14:41:37Z</cp:lastPrinted>
  <dcterms:created xsi:type="dcterms:W3CDTF">2005-08-31T09:40:21Z</dcterms:created>
  <dcterms:modified xsi:type="dcterms:W3CDTF">2026-10-01T09:18:20Z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0x0101008C942EC19E14854DB4616BA4C6149DFA</vt:lpwstr>
  </property>
  <property fmtid="{D5CDD505-2E9C-101B-9397-08002B2CF9AE}" pid="3" name="MediaServiceImageTags">
    <vt:lpwstr/>
  </property>
</Properties>
</file>