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wnloads\ap\"/>
    </mc:Choice>
  </mc:AlternateContent>
  <xr:revisionPtr revIDLastSave="0" documentId="13_ncr:1_{D382191B-A694-4ECB-A2B5-F2645489AE66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4" i="71" l="1"/>
  <c r="L293" i="71"/>
  <c r="D294" i="71"/>
  <c r="C293" i="71"/>
  <c r="J23" i="71"/>
  <c r="K289" i="71"/>
  <c r="K288" i="71"/>
  <c r="K279" i="71"/>
  <c r="K278" i="71"/>
  <c r="D290" i="71"/>
  <c r="K290" i="71" s="1"/>
  <c r="C288" i="71"/>
  <c r="L288" i="71" s="1"/>
  <c r="F287" i="71"/>
  <c r="J287" i="71" s="1"/>
  <c r="C289" i="71"/>
  <c r="L289" i="71" s="1"/>
  <c r="K285" i="71"/>
  <c r="J228" i="71"/>
  <c r="C156" i="71"/>
  <c r="J269" i="71"/>
  <c r="K267" i="71"/>
  <c r="J263" i="71"/>
  <c r="E257" i="71"/>
  <c r="J254" i="71"/>
  <c r="K239" i="71"/>
  <c r="K235" i="71"/>
  <c r="L232" i="71"/>
  <c r="K232" i="71"/>
  <c r="J232" i="71"/>
  <c r="K231" i="71"/>
  <c r="K228" i="71"/>
  <c r="K221" i="71"/>
  <c r="K220" i="71"/>
  <c r="J179" i="71"/>
  <c r="K181" i="71"/>
  <c r="K176" i="71"/>
  <c r="K172" i="71"/>
  <c r="K163" i="71"/>
  <c r="K162" i="71"/>
  <c r="J148" i="71"/>
  <c r="K146" i="71"/>
  <c r="J120" i="71"/>
  <c r="J117" i="71"/>
  <c r="J105" i="71"/>
  <c r="J94" i="71"/>
  <c r="J91" i="71"/>
  <c r="J77" i="71"/>
  <c r="J63" i="71"/>
  <c r="J56" i="71"/>
  <c r="J53" i="71"/>
  <c r="J45" i="71"/>
  <c r="J29" i="71"/>
  <c r="K240" i="71"/>
  <c r="K190" i="71"/>
  <c r="K189" i="71"/>
  <c r="K178" i="71"/>
  <c r="K177" i="71"/>
  <c r="K174" i="71"/>
  <c r="K173" i="71"/>
  <c r="K170" i="71"/>
  <c r="K169" i="71"/>
  <c r="K153" i="71"/>
  <c r="K142" i="71"/>
  <c r="K141" i="71"/>
  <c r="K129" i="71"/>
  <c r="K128" i="71"/>
  <c r="K50" i="71"/>
  <c r="K49" i="71"/>
  <c r="K41" i="71"/>
  <c r="K27" i="71"/>
  <c r="K26" i="71"/>
  <c r="H285" i="71"/>
  <c r="H284" i="71"/>
  <c r="H283" i="71"/>
  <c r="L290" i="71" l="1"/>
  <c r="L287" i="71"/>
  <c r="E15" i="71"/>
  <c r="K301" i="71"/>
  <c r="K300" i="71"/>
  <c r="K299" i="71"/>
  <c r="C308" i="71"/>
  <c r="J283" i="71"/>
  <c r="J275" i="71"/>
  <c r="K273" i="71"/>
  <c r="J203" i="71"/>
  <c r="J196" i="71"/>
  <c r="J193" i="71"/>
  <c r="J192" i="71"/>
  <c r="J186" i="71"/>
  <c r="J183" i="71"/>
  <c r="K168" i="71"/>
  <c r="E13" i="71"/>
  <c r="K13" i="71" l="1"/>
  <c r="J12" i="71"/>
  <c r="L14" i="71"/>
  <c r="K15" i="71"/>
  <c r="K60" i="71"/>
  <c r="J59" i="71"/>
  <c r="J37" i="71"/>
  <c r="J34" i="71"/>
  <c r="J31" i="71"/>
  <c r="J30" i="71"/>
  <c r="J20" i="71"/>
  <c r="J18" i="71"/>
  <c r="K144" i="71"/>
  <c r="J137" i="71"/>
  <c r="J133" i="71"/>
  <c r="J25" i="71"/>
  <c r="L57" i="71"/>
  <c r="F56" i="71"/>
  <c r="L56" i="71" s="1"/>
  <c r="D20" i="71" l="1"/>
  <c r="E19" i="71"/>
  <c r="F18" i="71"/>
  <c r="L19" i="71" l="1"/>
  <c r="L18" i="71"/>
  <c r="L20" i="71"/>
  <c r="K20" i="71"/>
  <c r="J19" i="71"/>
  <c r="E65" i="71" l="1"/>
  <c r="E284" i="71"/>
  <c r="F276" i="71"/>
  <c r="F270" i="71"/>
  <c r="F264" i="71"/>
  <c r="E258" i="71"/>
  <c r="C250" i="71"/>
  <c r="F246" i="71"/>
  <c r="J246" i="71" s="1"/>
  <c r="F243" i="71"/>
  <c r="D238" i="71"/>
  <c r="C153" i="71"/>
  <c r="E149" i="71"/>
  <c r="F126" i="71"/>
  <c r="E121" i="71"/>
  <c r="E118" i="71"/>
  <c r="E109" i="71"/>
  <c r="E106" i="71"/>
  <c r="E98" i="71"/>
  <c r="E95" i="71"/>
  <c r="E92" i="71"/>
  <c r="E81" i="71"/>
  <c r="E78" i="71"/>
  <c r="E69" i="71"/>
  <c r="E64" i="71"/>
  <c r="F60" i="71"/>
  <c r="F53" i="71"/>
  <c r="F46" i="71"/>
  <c r="F38" i="71"/>
  <c r="E34" i="71"/>
  <c r="D280" i="71"/>
  <c r="C279" i="71"/>
  <c r="C278" i="71"/>
  <c r="E277" i="71"/>
  <c r="C273" i="71"/>
  <c r="D272" i="71"/>
  <c r="E271" i="71"/>
  <c r="C267" i="71"/>
  <c r="D266" i="71"/>
  <c r="E265" i="71"/>
  <c r="E261" i="71"/>
  <c r="J261" i="71" s="1"/>
  <c r="E260" i="71"/>
  <c r="J260" i="71" s="1"/>
  <c r="E259" i="71"/>
  <c r="C252" i="71"/>
  <c r="C251" i="71"/>
  <c r="E247" i="71"/>
  <c r="J247" i="71" s="1"/>
  <c r="E243" i="71"/>
  <c r="J243" i="71" s="1"/>
  <c r="C240" i="71"/>
  <c r="C239" i="71"/>
  <c r="E219" i="71"/>
  <c r="K219" i="71" s="1"/>
  <c r="E235" i="71"/>
  <c r="D234" i="71"/>
  <c r="E234" i="71"/>
  <c r="F234" i="71"/>
  <c r="F233" i="71"/>
  <c r="E233" i="71"/>
  <c r="E231" i="71"/>
  <c r="J231" i="71" s="1"/>
  <c r="F229" i="71"/>
  <c r="F230" i="71"/>
  <c r="D230" i="71"/>
  <c r="E230" i="71"/>
  <c r="E229" i="71"/>
  <c r="E227" i="71"/>
  <c r="C226" i="71"/>
  <c r="K226" i="71" s="1"/>
  <c r="C225" i="71"/>
  <c r="K225" i="71" s="1"/>
  <c r="C224" i="71"/>
  <c r="K224" i="71" s="1"/>
  <c r="C223" i="71"/>
  <c r="K223" i="71" s="1"/>
  <c r="C222" i="71"/>
  <c r="K222" i="71" s="1"/>
  <c r="C221" i="71"/>
  <c r="C220" i="71"/>
  <c r="C218" i="71"/>
  <c r="K218" i="71" s="1"/>
  <c r="C217" i="71"/>
  <c r="K217" i="71" s="1"/>
  <c r="C216" i="71"/>
  <c r="K216" i="71" s="1"/>
  <c r="E213" i="71"/>
  <c r="K213" i="71" s="1"/>
  <c r="C215" i="71"/>
  <c r="K215" i="71" s="1"/>
  <c r="C214" i="71"/>
  <c r="K214" i="71" s="1"/>
  <c r="C212" i="71"/>
  <c r="K212" i="71" s="1"/>
  <c r="C211" i="71"/>
  <c r="K211" i="71" s="1"/>
  <c r="C210" i="71"/>
  <c r="K210" i="71" s="1"/>
  <c r="C209" i="71"/>
  <c r="C208" i="71"/>
  <c r="D207" i="71"/>
  <c r="E206" i="71"/>
  <c r="E205" i="71"/>
  <c r="K205" i="71" s="1"/>
  <c r="F204" i="71"/>
  <c r="D204" i="71"/>
  <c r="E204" i="71"/>
  <c r="F202" i="71"/>
  <c r="C201" i="71"/>
  <c r="C200" i="71"/>
  <c r="D199" i="71"/>
  <c r="K199" i="71" s="1"/>
  <c r="E198" i="71"/>
  <c r="E195" i="71"/>
  <c r="F197" i="71"/>
  <c r="J197" i="71" s="1"/>
  <c r="E197" i="71"/>
  <c r="D197" i="71"/>
  <c r="C194" i="71"/>
  <c r="D193" i="71"/>
  <c r="E193" i="71"/>
  <c r="F193" i="71"/>
  <c r="C191" i="71"/>
  <c r="C190" i="71"/>
  <c r="C189" i="71"/>
  <c r="D188" i="71"/>
  <c r="E187" i="71"/>
  <c r="F187" i="71"/>
  <c r="F185" i="71"/>
  <c r="F184" i="71"/>
  <c r="E183" i="71"/>
  <c r="E181" i="71"/>
  <c r="F180" i="71"/>
  <c r="E180" i="71"/>
  <c r="D180" i="71"/>
  <c r="C178" i="71"/>
  <c r="C177" i="71"/>
  <c r="C176" i="71"/>
  <c r="D175" i="71"/>
  <c r="C174" i="71"/>
  <c r="C173" i="71"/>
  <c r="C172" i="71"/>
  <c r="D171" i="71"/>
  <c r="C170" i="71"/>
  <c r="C169" i="71"/>
  <c r="C168" i="71"/>
  <c r="D167" i="71"/>
  <c r="E166" i="71"/>
  <c r="K166" i="71" s="1"/>
  <c r="C165" i="71"/>
  <c r="K165" i="71" s="1"/>
  <c r="C164" i="71"/>
  <c r="K164" i="71" s="1"/>
  <c r="E163" i="71"/>
  <c r="E162" i="71"/>
  <c r="D161" i="71"/>
  <c r="K161" i="71" s="1"/>
  <c r="D160" i="71"/>
  <c r="K160" i="71" s="1"/>
  <c r="D159" i="71"/>
  <c r="K159" i="71" s="1"/>
  <c r="E158" i="71"/>
  <c r="K158" i="71" s="1"/>
  <c r="E157" i="71"/>
  <c r="K157" i="71" s="1"/>
  <c r="E150" i="71"/>
  <c r="E146" i="71"/>
  <c r="D143" i="71"/>
  <c r="C145" i="71"/>
  <c r="K145" i="71" s="1"/>
  <c r="C144" i="71"/>
  <c r="C142" i="71"/>
  <c r="C141" i="71"/>
  <c r="F140" i="71"/>
  <c r="E140" i="71"/>
  <c r="D140" i="71"/>
  <c r="E139" i="71"/>
  <c r="F138" i="71"/>
  <c r="F136" i="71"/>
  <c r="D136" i="71"/>
  <c r="E136" i="71"/>
  <c r="E135" i="71"/>
  <c r="F134" i="71"/>
  <c r="E130" i="71"/>
  <c r="F130" i="71"/>
  <c r="C129" i="71"/>
  <c r="C128" i="71"/>
  <c r="E127" i="71"/>
  <c r="E126" i="71"/>
  <c r="C122" i="71"/>
  <c r="K122" i="71" s="1"/>
  <c r="E114" i="71"/>
  <c r="K114" i="71" s="1"/>
  <c r="C115" i="71"/>
  <c r="C113" i="71"/>
  <c r="E112" i="71"/>
  <c r="E111" i="71"/>
  <c r="E110" i="71"/>
  <c r="C103" i="71"/>
  <c r="C102" i="71"/>
  <c r="E101" i="71"/>
  <c r="E100" i="71"/>
  <c r="E99" i="71"/>
  <c r="C89" i="71"/>
  <c r="E88" i="71"/>
  <c r="K88" i="71" s="1"/>
  <c r="C87" i="71"/>
  <c r="E86" i="71"/>
  <c r="E85" i="71"/>
  <c r="E84" i="71"/>
  <c r="E83" i="71"/>
  <c r="E82" i="71"/>
  <c r="C75" i="71"/>
  <c r="E74" i="71"/>
  <c r="K74" i="71" s="1"/>
  <c r="C73" i="71"/>
  <c r="E72" i="71"/>
  <c r="E71" i="71"/>
  <c r="E70" i="71"/>
  <c r="E66" i="71"/>
  <c r="L66" i="71" s="1"/>
  <c r="E60" i="71"/>
  <c r="C54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38" i="71" l="1"/>
  <c r="K238" i="71"/>
  <c r="D295" i="71"/>
  <c r="F295" i="71"/>
  <c r="C295" i="71"/>
  <c r="J284" i="71"/>
  <c r="L284" i="71"/>
  <c r="E295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4" i="71"/>
  <c r="L65" i="71"/>
  <c r="K69" i="71"/>
  <c r="L69" i="71"/>
  <c r="K70" i="71"/>
  <c r="L70" i="71"/>
  <c r="K71" i="71"/>
  <c r="L71" i="71"/>
  <c r="K72" i="71"/>
  <c r="L72" i="71"/>
  <c r="K73" i="71"/>
  <c r="L73" i="71"/>
  <c r="L74" i="71"/>
  <c r="K75" i="71"/>
  <c r="L75" i="71"/>
  <c r="L78" i="71"/>
  <c r="K81" i="71"/>
  <c r="L81" i="71"/>
  <c r="K82" i="71"/>
  <c r="L82" i="71"/>
  <c r="K83" i="71"/>
  <c r="L83" i="71"/>
  <c r="K84" i="71"/>
  <c r="L84" i="71"/>
  <c r="K85" i="71"/>
  <c r="L85" i="71"/>
  <c r="K86" i="71"/>
  <c r="L86" i="71"/>
  <c r="K87" i="71"/>
  <c r="L87" i="71"/>
  <c r="L88" i="71"/>
  <c r="K89" i="71"/>
  <c r="L89" i="71"/>
  <c r="L92" i="71"/>
  <c r="L95" i="71"/>
  <c r="K98" i="71"/>
  <c r="L98" i="71"/>
  <c r="K99" i="71"/>
  <c r="L99" i="71"/>
  <c r="K100" i="71"/>
  <c r="L100" i="71"/>
  <c r="K101" i="71"/>
  <c r="L101" i="71"/>
  <c r="K102" i="71"/>
  <c r="L102" i="71"/>
  <c r="K103" i="71"/>
  <c r="L103" i="71"/>
  <c r="L106" i="71"/>
  <c r="K109" i="71"/>
  <c r="L109" i="71"/>
  <c r="K110" i="71"/>
  <c r="L110" i="71"/>
  <c r="K111" i="71"/>
  <c r="L111" i="71"/>
  <c r="K112" i="71"/>
  <c r="L112" i="71"/>
  <c r="K113" i="71"/>
  <c r="L113" i="71"/>
  <c r="L114" i="71"/>
  <c r="K115" i="71"/>
  <c r="L115" i="71"/>
  <c r="L118" i="71"/>
  <c r="L121" i="71"/>
  <c r="L122" i="71"/>
  <c r="L126" i="71"/>
  <c r="K127" i="71"/>
  <c r="L127" i="71"/>
  <c r="L128" i="71"/>
  <c r="L129" i="71"/>
  <c r="K130" i="71"/>
  <c r="L130" i="71"/>
  <c r="L134" i="71"/>
  <c r="K135" i="71"/>
  <c r="L135" i="71"/>
  <c r="L136" i="71"/>
  <c r="L138" i="71"/>
  <c r="K139" i="71"/>
  <c r="L139" i="71"/>
  <c r="L140" i="71"/>
  <c r="L141" i="71"/>
  <c r="L142" i="71"/>
  <c r="K143" i="71"/>
  <c r="L143" i="71"/>
  <c r="L144" i="71"/>
  <c r="L145" i="71"/>
  <c r="L146" i="71"/>
  <c r="L149" i="71"/>
  <c r="L150" i="71"/>
  <c r="L153" i="71"/>
  <c r="K156" i="71"/>
  <c r="L156" i="71"/>
  <c r="J157" i="71"/>
  <c r="L157" i="71"/>
  <c r="J158" i="71"/>
  <c r="L158" i="71"/>
  <c r="L159" i="71"/>
  <c r="L160" i="71"/>
  <c r="L161" i="71"/>
  <c r="J162" i="71"/>
  <c r="L162" i="71"/>
  <c r="J163" i="71"/>
  <c r="L163" i="71"/>
  <c r="J164" i="71"/>
  <c r="L164" i="71"/>
  <c r="J165" i="71"/>
  <c r="L165" i="71"/>
  <c r="J166" i="71"/>
  <c r="L166" i="71"/>
  <c r="K167" i="71"/>
  <c r="L167" i="71"/>
  <c r="L168" i="71"/>
  <c r="L169" i="71"/>
  <c r="L170" i="71"/>
  <c r="K171" i="71"/>
  <c r="L171" i="71"/>
  <c r="L172" i="71"/>
  <c r="L173" i="71"/>
  <c r="L174" i="71"/>
  <c r="K175" i="71"/>
  <c r="L175" i="71"/>
  <c r="L176" i="71"/>
  <c r="L177" i="71"/>
  <c r="L178" i="71"/>
  <c r="J180" i="71"/>
  <c r="L180" i="71"/>
  <c r="J181" i="71"/>
  <c r="L181" i="71"/>
  <c r="K182" i="71"/>
  <c r="L182" i="71"/>
  <c r="K183" i="71"/>
  <c r="L183" i="71"/>
  <c r="K184" i="71"/>
  <c r="L184" i="71"/>
  <c r="K185" i="71"/>
  <c r="L185" i="71"/>
  <c r="K187" i="71"/>
  <c r="L187" i="71"/>
  <c r="K188" i="71"/>
  <c r="L188" i="71"/>
  <c r="L189" i="71"/>
  <c r="L190" i="71"/>
  <c r="K191" i="71"/>
  <c r="L191" i="71"/>
  <c r="L193" i="71"/>
  <c r="K194" i="71"/>
  <c r="L194" i="71"/>
  <c r="K195" i="71"/>
  <c r="L195" i="71"/>
  <c r="L197" i="71"/>
  <c r="J198" i="71"/>
  <c r="K198" i="71"/>
  <c r="L198" i="71"/>
  <c r="J199" i="71"/>
  <c r="L199" i="71"/>
  <c r="K200" i="71"/>
  <c r="L200" i="71"/>
  <c r="K201" i="71"/>
  <c r="L201" i="71"/>
  <c r="J202" i="71"/>
  <c r="K202" i="71"/>
  <c r="L202" i="71"/>
  <c r="J204" i="71"/>
  <c r="K204" i="71"/>
  <c r="L204" i="71"/>
  <c r="J205" i="71"/>
  <c r="L205" i="71"/>
  <c r="J206" i="71"/>
  <c r="K206" i="71"/>
  <c r="L206" i="71"/>
  <c r="L207" i="71"/>
  <c r="K208" i="71"/>
  <c r="L208" i="71"/>
  <c r="K209" i="71"/>
  <c r="L209" i="71"/>
  <c r="L210" i="71"/>
  <c r="L211" i="71"/>
  <c r="L212" i="71"/>
  <c r="J213" i="71"/>
  <c r="L213" i="71"/>
  <c r="L214" i="71"/>
  <c r="L215" i="71"/>
  <c r="L216" i="71"/>
  <c r="L217" i="71"/>
  <c r="L218" i="71"/>
  <c r="J219" i="71"/>
  <c r="L219" i="71"/>
  <c r="L220" i="71"/>
  <c r="L221" i="71"/>
  <c r="L222" i="71"/>
  <c r="L223" i="71"/>
  <c r="L224" i="71"/>
  <c r="L225" i="71"/>
  <c r="J227" i="71"/>
  <c r="K227" i="71"/>
  <c r="L227" i="71"/>
  <c r="L228" i="71"/>
  <c r="J229" i="71"/>
  <c r="K229" i="71"/>
  <c r="L229" i="71"/>
  <c r="J230" i="71"/>
  <c r="K230" i="71"/>
  <c r="L230" i="71"/>
  <c r="L231" i="71"/>
  <c r="J233" i="71"/>
  <c r="K233" i="71"/>
  <c r="L233" i="71"/>
  <c r="J234" i="71"/>
  <c r="K234" i="71"/>
  <c r="L234" i="71"/>
  <c r="J235" i="71"/>
  <c r="L235" i="71"/>
  <c r="L239" i="71"/>
  <c r="L240" i="71"/>
  <c r="K243" i="71"/>
  <c r="L243" i="71"/>
  <c r="L246" i="71"/>
  <c r="L247" i="71"/>
  <c r="L248" i="71"/>
  <c r="L249" i="71"/>
  <c r="L250" i="71"/>
  <c r="L251" i="71"/>
  <c r="L252" i="71"/>
  <c r="L254" i="71"/>
  <c r="J257" i="71"/>
  <c r="L257" i="71"/>
  <c r="J258" i="71"/>
  <c r="L258" i="71"/>
  <c r="J259" i="71"/>
  <c r="L259" i="71"/>
  <c r="L260" i="71"/>
  <c r="L261" i="71"/>
  <c r="L264" i="71"/>
  <c r="J265" i="71"/>
  <c r="K265" i="71"/>
  <c r="L265" i="71"/>
  <c r="K266" i="71"/>
  <c r="L266" i="71"/>
  <c r="L267" i="71"/>
  <c r="L270" i="71"/>
  <c r="J271" i="71"/>
  <c r="K271" i="71"/>
  <c r="L271" i="71"/>
  <c r="K272" i="71"/>
  <c r="L272" i="71"/>
  <c r="L273" i="71"/>
  <c r="L276" i="71"/>
  <c r="J277" i="71"/>
  <c r="K277" i="71"/>
  <c r="L277" i="71"/>
  <c r="L278" i="71"/>
  <c r="L279" i="71"/>
  <c r="K280" i="71"/>
  <c r="L280" i="71"/>
  <c r="K281" i="71"/>
  <c r="L281" i="71"/>
  <c r="K282" i="71"/>
  <c r="L282" i="71"/>
  <c r="K283" i="71"/>
  <c r="L283" i="71"/>
  <c r="L60" i="71"/>
  <c r="G295" i="71" l="1"/>
  <c r="C307" i="71" s="1"/>
  <c r="M86" i="71"/>
  <c r="K303" i="71"/>
  <c r="C306" i="71" s="1"/>
  <c r="J14" i="71"/>
  <c r="J296" i="71" l="1"/>
  <c r="C304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3" i="71"/>
  <c r="L64" i="71"/>
  <c r="L285" i="71"/>
  <c r="K296" i="71" l="1"/>
  <c r="K297" i="71" l="1"/>
  <c r="C305" i="71" s="1"/>
  <c r="L10" i="71"/>
  <c r="C310" i="71" l="1"/>
  <c r="L296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<sst xmlns="http://schemas.openxmlformats.org/spreadsheetml/2006/main" count="509" uniqueCount="314">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</sst>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75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5" fillId="4" borderId="1" xfId="1" applyFont="1" applyFill="1" applyBorder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5" fillId="0" borderId="6" xfId="1" applyFont="1" applyBorder="1" applyAlignment="1">
      <alignment horizontal="left" vertical="center"/>
    </xf>
    <xf numFmtId="0" fontId="4" fillId="0" borderId="5" xfId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0" fontId="15" fillId="0" borderId="5" xfId="1" applyFont="1" applyBorder="1" applyAlignment="1">
      <alignment horizontal="center" vertical="center"/>
    </xf>
    <xf numFmtId="0" fontId="4" fillId="0" borderId="7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4" fillId="0" borderId="0" xfId="1" applyFont="1" applyBorder="1" applyAlignment="1">
      <alignment horizontal="center" vertical="center"/>
    </xf>
    <xf numFmtId="0" fontId="5" fillId="0" borderId="0" xfId="1" applyFont="1" applyBorder="1" applyAlignment="1">
      <alignment horizontal="center" vertical="center"/>
    </xf>
    <xf numFmtId="164" fontId="5" fillId="0" borderId="0" xfId="1" applyNumberFormat="1" applyFont="1" applyBorder="1" applyAlignment="1">
      <alignment horizontal="center" vertical="center"/>
    </xf>
    <xf numFmtId="0" fontId="15" fillId="0" borderId="0" xfId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5" fillId="0" borderId="3" xfId="1" applyFont="1" applyBorder="1" applyAlignment="1">
      <alignment horizontal="left" vertical="center"/>
    </xf>
    <xf numFmtId="0" fontId="5" fillId="0" borderId="0" xfId="4" applyFont="1" applyBorder="1" applyAlignment="1">
      <alignment horizontal="center" vertical="center"/>
    </xf>
    <xf numFmtId="0" fontId="4" fillId="0" borderId="0" xfId="4" applyFont="1" applyBorder="1" applyAlignment="1">
      <alignment horizontal="center" vertical="center"/>
    </xf>
    <xf numFmtId="0" fontId="4" fillId="0" borderId="3" xfId="1" applyFont="1" applyBorder="1" applyAlignment="1">
      <alignment horizontal="left" vertical="center"/>
    </xf>
    <xf numFmtId="0" fontId="12" fillId="0" borderId="0" xfId="4" applyFont="1" applyBorder="1" applyAlignment="1">
      <alignment horizontal="center" vertical="center"/>
    </xf>
    <xf numFmtId="0" fontId="4" fillId="0" borderId="3" xfId="4" applyFont="1" applyBorder="1" applyAlignment="1">
      <alignment horizontal="left" vertical="center"/>
    </xf>
    <xf numFmtId="0" fontId="4" fillId="0" borderId="8" xfId="4" applyFont="1" applyBorder="1" applyAlignment="1">
      <alignment horizontal="left" vertical="center"/>
    </xf>
    <xf numFmtId="0" fontId="4" fillId="0" borderId="0" xfId="0" applyFont="1" applyBorder="1" applyAlignment="1">
      <alignment horizontal="center"/>
    </xf>
    <xf numFmtId="164" fontId="4" fillId="0" borderId="0" xfId="1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12" fillId="0" borderId="0" xfId="1" applyFont="1" applyBorder="1" applyAlignment="1">
      <alignment horizontal="center" vertical="center"/>
    </xf>
    <xf numFmtId="0" fontId="4" fillId="0" borderId="3" xfId="1" applyFont="1" applyBorder="1" applyAlignment="1">
      <alignment vertical="center"/>
    </xf>
    <xf numFmtId="0" fontId="5" fillId="0" borderId="8" xfId="4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0" fontId="5" fillId="0" borderId="8" xfId="1" applyFont="1" applyBorder="1" applyAlignment="1">
      <alignment horizontal="left" vertical="center"/>
    </xf>
    <xf numFmtId="0" fontId="11" fillId="0" borderId="0" xfId="0" applyFont="1" applyBorder="1" applyAlignment="1">
      <alignment horizontal="center"/>
    </xf>
    <xf numFmtId="0" fontId="12" fillId="0" borderId="0" xfId="2" applyFont="1" applyBorder="1" applyAlignment="1">
      <alignment horizontal="center"/>
    </xf>
    <xf numFmtId="0" fontId="5" fillId="0" borderId="3" xfId="4" applyFont="1" applyBorder="1" applyAlignment="1">
      <alignment horizontal="left" vertical="center"/>
    </xf>
    <xf numFmtId="0" fontId="5" fillId="2" borderId="3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Border="1" applyAlignment="1">
      <alignment horizontal="center" vertical="center"/>
    </xf>
    <xf numFmtId="0" fontId="16" fillId="2" borderId="0" xfId="1" applyFont="1" applyFill="1" applyBorder="1" applyAlignment="1">
      <alignment horizontal="center" vertical="center"/>
    </xf>
    <xf numFmtId="0" fontId="5" fillId="2" borderId="8" xfId="1" applyFont="1" applyFill="1" applyBorder="1" applyAlignment="1" applyProtection="1">
      <alignment horizontal="center" vertical="center"/>
      <protection locked="0"/>
    </xf>
    <xf numFmtId="0" fontId="7" fillId="0" borderId="3" xfId="0" applyFont="1" applyBorder="1"/>
    <xf numFmtId="0" fontId="7" fillId="0" borderId="0" xfId="0" applyFont="1" applyBorder="1"/>
    <xf numFmtId="0" fontId="8" fillId="0" borderId="0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0" fontId="7" fillId="0" borderId="8" xfId="0" applyFont="1" applyBorder="1"/>
    <xf numFmtId="8" fontId="7" fillId="0" borderId="0" xfId="0" applyNumberFormat="1" applyFont="1" applyBorder="1" applyAlignment="1">
      <alignment horizontal="center"/>
    </xf>
    <xf numFmtId="44" fontId="7" fillId="0" borderId="8" xfId="5" applyFont="1" applyBorder="1"/>
    <xf numFmtId="0" fontId="2" fillId="0" borderId="3" xfId="2" applyBorder="1"/>
    <xf numFmtId="0" fontId="2" fillId="0" borderId="0" xfId="2" applyBorder="1"/>
    <xf numFmtId="0" fontId="2" fillId="0" borderId="8" xfId="2" applyBorder="1"/>
    <xf numFmtId="0" fontId="16" fillId="0" borderId="0" xfId="2" applyFont="1" applyBorder="1" applyAlignment="1">
      <alignment horizontal="center"/>
    </xf>
    <xf numFmtId="0" fontId="4" fillId="0" borderId="0" xfId="2" applyFont="1" applyBorder="1" applyAlignment="1">
      <alignment horizontal="center"/>
    </xf>
    <xf numFmtId="0" fontId="2" fillId="0" borderId="9" xfId="2" applyBorder="1" applyAlignment="1">
      <alignment horizontal="left"/>
    </xf>
    <xf numFmtId="0" fontId="2" fillId="0" borderId="10" xfId="2" applyBorder="1" applyAlignment="1">
      <alignment horizontal="left"/>
    </xf>
    <xf numFmtId="0" fontId="2" fillId="0" borderId="11" xfId="2" applyBorder="1" applyAlignment="1">
      <alignment horizontal="left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/>
        <vertical/>
        <horizontal/>
      </border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28"/>
  <sheetViews>
    <sheetView tabSelected="1" view="pageBreakPreview" zoomScale="101" zoomScaleNormal="100" zoomScaleSheetLayoutView="110" workbookViewId="0">
      <pane ySplit="6" topLeftCell="A7" activePane="bottomLeft" state="frozen"/>
      <selection activeCell="F27" sqref="F27"/>
      <selection pane="bottomLeft" activeCell="C1" sqref="C1:G1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21" t="s">
        <v>313</v>
      </c>
      <c r="C1" s="25"/>
      <c r="D1" s="25"/>
      <c r="E1" s="25"/>
      <c r="F1" s="25"/>
      <c r="G1" s="25"/>
      <c r="H1" s="25"/>
      <c r="I1" s="25"/>
      <c r="J1" s="14"/>
    </row>
    <row r="2" spans="2:12" ht="13.2" x14ac:dyDescent="0.25">
      <c r="B2" s="22" t="s">
        <v>298</v>
      </c>
      <c r="C2" s="24"/>
      <c r="D2" s="24"/>
      <c r="E2" s="26" t="s">
        <v>300</v>
      </c>
      <c r="F2" s="26"/>
      <c r="G2" s="26"/>
      <c r="H2" s="25"/>
      <c r="I2" s="25"/>
      <c r="J2" s="14"/>
    </row>
    <row r="3" spans="2:12" ht="13.2" x14ac:dyDescent="0.25">
      <c r="B3" s="22" t="s">
        <v>299</v>
      </c>
      <c r="C3" s="24"/>
      <c r="D3" s="24"/>
      <c r="E3" s="26" t="s">
        <v>302</v>
      </c>
      <c r="F3" s="26"/>
      <c r="G3" s="26"/>
      <c r="H3" s="25"/>
      <c r="I3" s="25"/>
      <c r="J3" s="14"/>
    </row>
    <row r="4" spans="2:12" ht="13.2" x14ac:dyDescent="0.25">
      <c r="B4" s="22" t="s">
        <v>296</v>
      </c>
      <c r="C4" s="24"/>
      <c r="D4" s="24"/>
      <c r="E4" s="24"/>
      <c r="F4" s="24"/>
      <c r="G4" s="24"/>
      <c r="H4" s="25"/>
      <c r="I4" s="25"/>
      <c r="J4" s="14"/>
    </row>
    <row r="5" spans="2:12" ht="13.5" customHeight="1" x14ac:dyDescent="0.25">
      <c r="B5" s="22" t="s">
        <v>297</v>
      </c>
      <c r="C5" s="24"/>
      <c r="D5" s="24"/>
      <c r="E5" s="24"/>
      <c r="F5" s="24"/>
      <c r="G5" s="24"/>
      <c r="H5" s="25"/>
      <c r="I5" s="25"/>
      <c r="J5" s="23" t="s">
        <v>224</v>
      </c>
      <c r="K5" s="24"/>
      <c r="L5" s="24"/>
    </row>
    <row r="6" spans="2:12" s="3" customFormat="1" ht="26.4" x14ac:dyDescent="0.25">
      <c r="B6" s="17" t="s">
        <v>2</v>
      </c>
      <c r="C6" s="18" t="s">
        <v>3</v>
      </c>
      <c r="D6" s="18" t="s">
        <v>4</v>
      </c>
      <c r="E6" s="18" t="s">
        <v>5</v>
      </c>
      <c r="F6" s="18" t="s">
        <v>17</v>
      </c>
      <c r="G6" s="18" t="s">
        <v>312</v>
      </c>
      <c r="H6" s="19" t="s">
        <v>237</v>
      </c>
      <c r="I6" s="20" t="s">
        <v>18</v>
      </c>
      <c r="J6" s="16" t="s">
        <v>293</v>
      </c>
      <c r="K6" s="16" t="s">
        <v>294</v>
      </c>
      <c r="L6" s="16" t="s">
        <v>295</v>
      </c>
    </row>
    <row r="7" spans="2:12" s="3" customFormat="1" ht="13.2" x14ac:dyDescent="0.25">
      <c r="B7" s="27"/>
      <c r="C7" s="28"/>
      <c r="D7" s="28"/>
      <c r="E7" s="28"/>
      <c r="F7" s="28"/>
      <c r="G7" s="29"/>
      <c r="H7" s="30">
        <v>1</v>
      </c>
      <c r="I7" s="31"/>
      <c r="J7" s="7"/>
      <c r="K7" s="7"/>
      <c r="L7" s="7"/>
    </row>
    <row r="8" spans="2:12" s="4" customFormat="1" ht="13.2" x14ac:dyDescent="0.25">
      <c r="B8" s="32"/>
      <c r="C8" s="33"/>
      <c r="D8" s="34" t="s">
        <v>301</v>
      </c>
      <c r="E8" s="33"/>
      <c r="F8" s="33"/>
      <c r="G8" s="35"/>
      <c r="H8" s="36"/>
      <c r="I8" s="37"/>
      <c r="J8" s="9"/>
      <c r="K8" s="9"/>
      <c r="L8" s="9"/>
    </row>
    <row r="9" spans="2:12" s="3" customFormat="1" ht="13.2" x14ac:dyDescent="0.25">
      <c r="B9" s="38"/>
      <c r="C9" s="33"/>
      <c r="D9" s="33"/>
      <c r="E9" s="33"/>
      <c r="F9" s="33"/>
      <c r="G9" s="35"/>
      <c r="H9" s="36"/>
      <c r="I9" s="37"/>
      <c r="J9" s="7"/>
      <c r="K9" s="9"/>
      <c r="L9" s="9"/>
    </row>
    <row r="10" spans="2:12" s="4" customFormat="1" ht="13.2" x14ac:dyDescent="0.25">
      <c r="B10" s="38" t="s">
        <v>177</v>
      </c>
      <c r="C10" s="33"/>
      <c r="D10" s="33"/>
      <c r="E10" s="33"/>
      <c r="F10" s="33"/>
      <c r="G10" s="39"/>
      <c r="H10" s="40"/>
      <c r="I10" s="37"/>
      <c r="J10" s="9"/>
      <c r="K10" s="9"/>
      <c r="L10" s="9">
        <f>SUM(C11:F11)*50</f>
        <v>0</v>
      </c>
    </row>
    <row r="11" spans="2:12" s="4" customFormat="1" ht="13.2" x14ac:dyDescent="0.25">
      <c r="B11" s="41" t="s">
        <v>204</v>
      </c>
      <c r="C11" s="33">
        <f>SUM(H10)</f>
        <v>0</v>
      </c>
      <c r="D11" s="33"/>
      <c r="E11" s="33"/>
      <c r="F11" s="33"/>
      <c r="G11" s="39"/>
      <c r="H11" s="42"/>
      <c r="I11" s="37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41" t="s">
        <v>205</v>
      </c>
      <c r="C12" s="33">
        <f>SUM(H10)</f>
        <v>0</v>
      </c>
      <c r="D12" s="33"/>
      <c r="E12" s="33"/>
      <c r="F12" s="33"/>
      <c r="G12" s="39"/>
      <c r="H12" s="42"/>
      <c r="I12" s="37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41" t="s">
        <v>27</v>
      </c>
      <c r="C13" s="33"/>
      <c r="D13" s="33"/>
      <c r="E13" s="33">
        <f>SUM(H10)</f>
        <v>0</v>
      </c>
      <c r="F13" s="33"/>
      <c r="G13" s="39"/>
      <c r="H13" s="42"/>
      <c r="I13" s="37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43" t="s">
        <v>28</v>
      </c>
      <c r="C14" s="40">
        <f>SUM(H10)</f>
        <v>0</v>
      </c>
      <c r="D14" s="40"/>
      <c r="E14" s="40"/>
      <c r="F14" s="40"/>
      <c r="G14" s="35"/>
      <c r="H14" s="42"/>
      <c r="I14" s="44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41" t="s">
        <v>178</v>
      </c>
      <c r="C15" s="33"/>
      <c r="D15" s="33"/>
      <c r="E15" s="33">
        <f>SUM(H10)</f>
        <v>0</v>
      </c>
      <c r="F15" s="33"/>
      <c r="G15" s="35"/>
      <c r="H15" s="42"/>
      <c r="I15" s="44" t="s">
        <v>264</v>
      </c>
      <c r="J15" s="9"/>
      <c r="K15" s="9">
        <f>SUM(C15:G15)*65</f>
        <v>0</v>
      </c>
      <c r="L15" s="9"/>
    </row>
    <row r="16" spans="2:12" s="4" customFormat="1" ht="13.2" x14ac:dyDescent="0.25">
      <c r="B16" s="41"/>
      <c r="C16" s="33"/>
      <c r="D16" s="33"/>
      <c r="E16" s="33"/>
      <c r="F16" s="33"/>
      <c r="G16" s="35"/>
      <c r="H16" s="42"/>
      <c r="I16" s="44"/>
      <c r="J16" s="9"/>
      <c r="K16" s="9"/>
      <c r="L16" s="9"/>
    </row>
    <row r="17" spans="2:13" s="4" customFormat="1" ht="13.2" x14ac:dyDescent="0.25">
      <c r="B17" s="38" t="s">
        <v>271</v>
      </c>
      <c r="C17" s="33"/>
      <c r="D17" s="33"/>
      <c r="E17" s="33"/>
      <c r="F17" s="33"/>
      <c r="G17" s="35"/>
      <c r="H17" s="45"/>
      <c r="I17" s="37"/>
      <c r="J17" s="9"/>
      <c r="K17" s="9"/>
      <c r="L17" s="9"/>
    </row>
    <row r="18" spans="2:13" s="4" customFormat="1" ht="13.2" x14ac:dyDescent="0.25">
      <c r="B18" s="41" t="s">
        <v>272</v>
      </c>
      <c r="C18" s="33"/>
      <c r="D18" s="33"/>
      <c r="E18" s="33"/>
      <c r="F18" s="33">
        <f>SUM(H17)</f>
        <v>0</v>
      </c>
      <c r="G18" s="46"/>
      <c r="H18" s="47"/>
      <c r="I18" s="37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41" t="s">
        <v>273</v>
      </c>
      <c r="C19" s="33"/>
      <c r="D19" s="33"/>
      <c r="E19" s="33">
        <f>SUM(H17)</f>
        <v>0</v>
      </c>
      <c r="F19" s="33"/>
      <c r="G19" s="46"/>
      <c r="H19" s="47"/>
      <c r="I19" s="37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41" t="s">
        <v>274</v>
      </c>
      <c r="C20" s="33"/>
      <c r="D20" s="33">
        <f>SUM(H17)</f>
        <v>0</v>
      </c>
      <c r="E20" s="33"/>
      <c r="F20" s="33"/>
      <c r="G20" s="46"/>
      <c r="H20" s="47"/>
      <c r="I20" s="37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2" x14ac:dyDescent="0.25">
      <c r="B21" s="41"/>
      <c r="C21" s="33"/>
      <c r="D21" s="33"/>
      <c r="E21" s="33"/>
      <c r="F21" s="33"/>
      <c r="G21" s="35"/>
      <c r="H21" s="47"/>
      <c r="I21" s="37"/>
      <c r="J21" s="9"/>
      <c r="K21" s="9"/>
      <c r="L21" s="9"/>
    </row>
    <row r="22" spans="2:13" s="4" customFormat="1" ht="13.2" x14ac:dyDescent="0.25">
      <c r="B22" s="38" t="s">
        <v>275</v>
      </c>
      <c r="C22" s="33"/>
      <c r="D22" s="33"/>
      <c r="E22" s="33"/>
      <c r="F22" s="33"/>
      <c r="G22" s="35"/>
      <c r="H22" s="33"/>
      <c r="I22" s="37"/>
    </row>
    <row r="23" spans="2:13" s="3" customFormat="1" ht="13.2" x14ac:dyDescent="0.25">
      <c r="B23" s="41" t="s">
        <v>220</v>
      </c>
      <c r="C23" s="33"/>
      <c r="D23" s="33"/>
      <c r="E23" s="33"/>
      <c r="F23" s="33">
        <f>SUM(H22)</f>
        <v>0</v>
      </c>
      <c r="G23" s="46"/>
      <c r="H23" s="48"/>
      <c r="I23" s="37" t="s">
        <v>15</v>
      </c>
      <c r="J23" s="9">
        <f>PRODUCT(250,H22)</f>
        <v>250</v>
      </c>
      <c r="K23" s="9"/>
      <c r="L23" s="9">
        <f>SUM(C23:F23)*50</f>
        <v>0</v>
      </c>
    </row>
    <row r="24" spans="2:13" s="4" customFormat="1" ht="13.2" x14ac:dyDescent="0.25">
      <c r="B24" s="41" t="s">
        <v>219</v>
      </c>
      <c r="C24" s="33"/>
      <c r="D24" s="33"/>
      <c r="E24" s="33">
        <f>SUM(H22)</f>
        <v>0</v>
      </c>
      <c r="F24" s="33"/>
      <c r="G24" s="46"/>
      <c r="H24" s="48"/>
      <c r="I24" s="37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41" t="s">
        <v>25</v>
      </c>
      <c r="C25" s="33"/>
      <c r="D25" s="33">
        <f>SUM(H22)</f>
        <v>0</v>
      </c>
      <c r="E25" s="33"/>
      <c r="F25" s="33"/>
      <c r="G25" s="46"/>
      <c r="H25" s="48"/>
      <c r="I25" s="37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41" t="s">
        <v>194</v>
      </c>
      <c r="C26" s="33">
        <f>SUM(H22)</f>
        <v>0</v>
      </c>
      <c r="D26" s="33"/>
      <c r="E26" s="33"/>
      <c r="F26" s="33"/>
      <c r="G26" s="35"/>
      <c r="H26" s="48"/>
      <c r="I26" s="37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41" t="s">
        <v>195</v>
      </c>
      <c r="C27" s="33">
        <f>SUM(H22)</f>
        <v>0</v>
      </c>
      <c r="D27" s="33"/>
      <c r="E27" s="33"/>
      <c r="F27" s="33"/>
      <c r="G27" s="46"/>
      <c r="H27" s="48"/>
      <c r="I27" s="37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2" x14ac:dyDescent="0.25">
      <c r="B28" s="41"/>
      <c r="C28" s="33"/>
      <c r="D28" s="33"/>
      <c r="E28" s="33"/>
      <c r="F28" s="33"/>
      <c r="G28" s="35"/>
      <c r="H28" s="48"/>
      <c r="I28" s="37"/>
    </row>
    <row r="29" spans="2:13" s="4" customFormat="1" ht="14.25" customHeight="1" x14ac:dyDescent="0.25">
      <c r="B29" s="38" t="s">
        <v>26</v>
      </c>
      <c r="C29" s="33"/>
      <c r="D29" s="33"/>
      <c r="E29" s="33"/>
      <c r="F29" s="33"/>
      <c r="G29" s="35"/>
      <c r="H29" s="33"/>
      <c r="I29" s="37"/>
      <c r="J29" s="9">
        <f>SUM(150*H29)</f>
        <v>0</v>
      </c>
      <c r="K29" s="9"/>
      <c r="L29" s="9"/>
    </row>
    <row r="30" spans="2:13" s="4" customFormat="1" ht="14.25" customHeight="1" x14ac:dyDescent="0.25">
      <c r="B30" s="41" t="s">
        <v>222</v>
      </c>
      <c r="C30" s="33"/>
      <c r="D30" s="33"/>
      <c r="E30" s="33">
        <f>SUM(H29)</f>
        <v>0</v>
      </c>
      <c r="F30" s="33"/>
      <c r="G30" s="35"/>
      <c r="H30" s="48"/>
      <c r="I30" s="37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41" t="s">
        <v>223</v>
      </c>
      <c r="C31" s="33"/>
      <c r="D31" s="33"/>
      <c r="E31" s="33">
        <f>SUM(H29)</f>
        <v>0</v>
      </c>
      <c r="F31" s="33"/>
      <c r="G31" s="35"/>
      <c r="H31" s="48"/>
      <c r="I31" s="37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2" x14ac:dyDescent="0.25">
      <c r="B32" s="41"/>
      <c r="C32" s="33"/>
      <c r="D32" s="33"/>
      <c r="E32" s="33"/>
      <c r="F32" s="33"/>
      <c r="G32" s="35"/>
      <c r="H32" s="48"/>
      <c r="I32" s="37"/>
      <c r="J32" s="9"/>
      <c r="K32" s="9"/>
      <c r="L32" s="9"/>
      <c r="M32" s="4"/>
    </row>
    <row r="33" spans="2:13" s="4" customFormat="1" ht="13.2" x14ac:dyDescent="0.25">
      <c r="B33" s="38" t="s">
        <v>163</v>
      </c>
      <c r="C33" s="33"/>
      <c r="D33" s="33"/>
      <c r="E33" s="33"/>
      <c r="F33" s="33"/>
      <c r="G33" s="35"/>
      <c r="H33" s="33"/>
      <c r="I33" s="37"/>
      <c r="J33" s="7"/>
      <c r="K33" s="9"/>
      <c r="L33" s="9"/>
      <c r="M33" s="3"/>
    </row>
    <row r="34" spans="2:13" s="4" customFormat="1" ht="13.2" x14ac:dyDescent="0.25">
      <c r="B34" s="41" t="s">
        <v>164</v>
      </c>
      <c r="C34" s="33"/>
      <c r="D34" s="33"/>
      <c r="E34" s="33">
        <f>SUM(H33)</f>
        <v>0</v>
      </c>
      <c r="F34" s="33"/>
      <c r="G34" s="35"/>
      <c r="H34" s="48"/>
      <c r="I34" s="37" t="s">
        <v>15</v>
      </c>
      <c r="J34" s="9">
        <f>SUM(50*H33)</f>
        <v>0</v>
      </c>
      <c r="K34" s="9"/>
      <c r="L34" s="9">
        <f>SUM(C34:F34)*50</f>
        <v>0</v>
      </c>
    </row>
    <row r="35" spans="2:13" ht="13.2" x14ac:dyDescent="0.25">
      <c r="B35" s="41"/>
      <c r="C35" s="33"/>
      <c r="D35" s="33"/>
      <c r="E35" s="33"/>
      <c r="F35" s="33"/>
      <c r="G35" s="39"/>
      <c r="H35" s="42"/>
      <c r="I35" s="37"/>
      <c r="J35" s="9"/>
      <c r="K35" s="9"/>
      <c r="L35" s="9"/>
      <c r="M35" s="4"/>
    </row>
    <row r="36" spans="2:13" s="4" customFormat="1" ht="15" customHeight="1" x14ac:dyDescent="0.25">
      <c r="B36" s="38" t="s">
        <v>288</v>
      </c>
      <c r="C36" s="33"/>
      <c r="D36" s="33"/>
      <c r="E36" s="33"/>
      <c r="F36" s="33"/>
      <c r="G36" s="35"/>
      <c r="H36" s="33"/>
      <c r="I36" s="44"/>
      <c r="J36" s="8"/>
      <c r="K36" s="9"/>
      <c r="L36" s="9"/>
      <c r="M36" s="2"/>
    </row>
    <row r="37" spans="2:13" s="4" customFormat="1" ht="15" customHeight="1" x14ac:dyDescent="0.25">
      <c r="B37" s="38" t="s">
        <v>283</v>
      </c>
      <c r="C37" s="33"/>
      <c r="D37" s="33"/>
      <c r="E37" s="33"/>
      <c r="F37" s="33"/>
      <c r="G37" s="35"/>
      <c r="H37" s="48"/>
      <c r="I37" s="37" t="s">
        <v>290</v>
      </c>
      <c r="J37" s="9">
        <f>SUM(350*H36)</f>
        <v>0</v>
      </c>
      <c r="K37" s="9"/>
      <c r="L37" s="9"/>
    </row>
    <row r="38" spans="2:13" s="4" customFormat="1" ht="15" customHeight="1" x14ac:dyDescent="0.25">
      <c r="B38" s="41" t="s">
        <v>58</v>
      </c>
      <c r="C38" s="33"/>
      <c r="D38" s="33"/>
      <c r="E38" s="33"/>
      <c r="F38" s="33">
        <f>SUM(H36)</f>
        <v>0</v>
      </c>
      <c r="G38" s="35"/>
      <c r="H38" s="48"/>
      <c r="I38" s="37" t="s">
        <v>15</v>
      </c>
      <c r="J38" s="9"/>
      <c r="K38" s="9"/>
      <c r="L38" s="9">
        <f>SUM(C38:F38)*50</f>
        <v>0</v>
      </c>
    </row>
    <row r="39" spans="2:13" s="4" customFormat="1" ht="15" customHeight="1" x14ac:dyDescent="0.25">
      <c r="B39" s="41" t="s">
        <v>289</v>
      </c>
      <c r="C39" s="33"/>
      <c r="D39" s="33"/>
      <c r="E39" s="33">
        <f>SUM(H36)</f>
        <v>0</v>
      </c>
      <c r="F39" s="33"/>
      <c r="G39" s="35"/>
      <c r="H39" s="48"/>
      <c r="I39" s="37" t="s">
        <v>15</v>
      </c>
      <c r="J39" s="8"/>
      <c r="K39" s="9">
        <f>SUM(C39:F39)*30</f>
        <v>0</v>
      </c>
      <c r="L39" s="9">
        <f>SUM(C39:F39)*50</f>
        <v>0</v>
      </c>
    </row>
    <row r="40" spans="2:13" s="3" customFormat="1" ht="15" customHeight="1" x14ac:dyDescent="0.25">
      <c r="B40" s="49" t="s">
        <v>214</v>
      </c>
      <c r="C40" s="33"/>
      <c r="D40" s="33">
        <f>SUM(H36)</f>
        <v>0</v>
      </c>
      <c r="E40" s="33">
        <f>SUM(H36)</f>
        <v>0</v>
      </c>
      <c r="F40" s="33">
        <f>SUM(H36)</f>
        <v>0</v>
      </c>
      <c r="G40" s="35"/>
      <c r="H40" s="48"/>
      <c r="I40" s="50" t="s">
        <v>291</v>
      </c>
      <c r="J40" s="9"/>
      <c r="K40" s="9"/>
      <c r="L40" s="9">
        <f>SUM(C40:F40)*50</f>
        <v>0</v>
      </c>
      <c r="M40" s="4"/>
    </row>
    <row r="41" spans="2:13" s="4" customFormat="1" ht="15" customHeight="1" x14ac:dyDescent="0.25">
      <c r="B41" s="41" t="s">
        <v>29</v>
      </c>
      <c r="C41" s="33">
        <f>SUM(H36)</f>
        <v>0</v>
      </c>
      <c r="D41" s="33"/>
      <c r="E41" s="33"/>
      <c r="F41" s="33"/>
      <c r="G41" s="33"/>
      <c r="H41" s="48"/>
      <c r="I41" s="37" t="s">
        <v>267</v>
      </c>
      <c r="J41" s="9"/>
      <c r="K41" s="9">
        <f>SUM(35*H36)</f>
        <v>0</v>
      </c>
      <c r="L41" s="9">
        <f t="shared" ref="L41:L42" si="0">SUM(C41:F41)*50</f>
        <v>0</v>
      </c>
    </row>
    <row r="42" spans="2:13" s="4" customFormat="1" ht="15" customHeight="1" x14ac:dyDescent="0.25">
      <c r="B42" s="43" t="s">
        <v>32</v>
      </c>
      <c r="C42" s="40"/>
      <c r="D42" s="40">
        <f>SUM(H36)</f>
        <v>0</v>
      </c>
      <c r="E42" s="40"/>
      <c r="F42" s="40"/>
      <c r="G42" s="33"/>
      <c r="H42" s="48"/>
      <c r="I42" s="50" t="s">
        <v>63</v>
      </c>
      <c r="J42" s="7"/>
      <c r="K42" s="9">
        <f>SUM(C42:F42)*300</f>
        <v>0</v>
      </c>
      <c r="L42" s="9">
        <f t="shared" si="0"/>
        <v>0</v>
      </c>
      <c r="M42" s="3"/>
    </row>
    <row r="43" spans="2:13" s="4" customFormat="1" ht="15" customHeight="1" x14ac:dyDescent="0.25">
      <c r="B43" s="43"/>
      <c r="C43" s="40"/>
      <c r="D43" s="40"/>
      <c r="E43" s="40"/>
      <c r="F43" s="40"/>
      <c r="G43" s="51"/>
      <c r="H43" s="47"/>
      <c r="I43" s="37"/>
      <c r="J43" s="7"/>
      <c r="K43" s="9"/>
      <c r="L43" s="9"/>
      <c r="M43" s="3"/>
    </row>
    <row r="44" spans="2:13" s="4" customFormat="1" ht="15" customHeight="1" x14ac:dyDescent="0.25">
      <c r="B44" s="38" t="s">
        <v>281</v>
      </c>
      <c r="C44" s="40"/>
      <c r="D44" s="40"/>
      <c r="E44" s="40"/>
      <c r="F44" s="40"/>
      <c r="G44" s="51"/>
      <c r="H44" s="45"/>
      <c r="I44" s="44"/>
      <c r="J44" s="9"/>
      <c r="K44" s="9"/>
      <c r="L44" s="9"/>
    </row>
    <row r="45" spans="2:13" s="4" customFormat="1" ht="15" customHeight="1" x14ac:dyDescent="0.25">
      <c r="B45" s="41" t="s">
        <v>181</v>
      </c>
      <c r="C45" s="33"/>
      <c r="D45" s="33"/>
      <c r="E45" s="33"/>
      <c r="F45" s="33"/>
      <c r="G45" s="35"/>
      <c r="H45" s="48"/>
      <c r="I45" s="37"/>
      <c r="J45" s="9">
        <f>SUM(250*H44)</f>
        <v>0</v>
      </c>
      <c r="K45" s="9"/>
      <c r="L45" s="9"/>
    </row>
    <row r="46" spans="2:13" s="4" customFormat="1" ht="15" customHeight="1" x14ac:dyDescent="0.25">
      <c r="B46" s="41" t="s">
        <v>182</v>
      </c>
      <c r="C46" s="33"/>
      <c r="D46" s="33"/>
      <c r="E46" s="33">
        <f>SUM(H44)</f>
        <v>0</v>
      </c>
      <c r="F46" s="33">
        <f>SUM(H44)</f>
        <v>0</v>
      </c>
      <c r="G46" s="51"/>
      <c r="H46" s="47"/>
      <c r="I46" s="37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41" t="s">
        <v>33</v>
      </c>
      <c r="C47" s="33">
        <f>SUM(H44)</f>
        <v>0</v>
      </c>
      <c r="D47" s="33"/>
      <c r="E47" s="33"/>
      <c r="F47" s="33"/>
      <c r="G47" s="51"/>
      <c r="H47" s="47"/>
      <c r="I47" s="37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41" t="s">
        <v>34</v>
      </c>
      <c r="C48" s="33"/>
      <c r="D48" s="33"/>
      <c r="E48" s="33">
        <f>SUM(H44)</f>
        <v>0</v>
      </c>
      <c r="F48" s="33"/>
      <c r="G48" s="51"/>
      <c r="H48" s="47"/>
      <c r="I48" s="37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41" t="s">
        <v>29</v>
      </c>
      <c r="C49" s="33">
        <f>SUM(H44)</f>
        <v>0</v>
      </c>
      <c r="D49" s="33"/>
      <c r="E49" s="33"/>
      <c r="F49" s="33"/>
      <c r="G49" s="51"/>
      <c r="H49" s="47"/>
      <c r="I49" s="37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41" t="s">
        <v>30</v>
      </c>
      <c r="C50" s="33">
        <f>SUM(H44)</f>
        <v>0</v>
      </c>
      <c r="D50" s="33"/>
      <c r="E50" s="33"/>
      <c r="F50" s="33"/>
      <c r="G50" s="51"/>
      <c r="H50" s="47"/>
      <c r="I50" s="37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x14ac:dyDescent="0.25">
      <c r="B51" s="41" t="s">
        <v>32</v>
      </c>
      <c r="C51" s="33"/>
      <c r="D51" s="33">
        <f>SUM(H44)</f>
        <v>0</v>
      </c>
      <c r="E51" s="33"/>
      <c r="F51" s="33"/>
      <c r="G51" s="51"/>
      <c r="H51" s="47"/>
      <c r="I51" s="52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x14ac:dyDescent="0.25">
      <c r="B52" s="38" t="s">
        <v>276</v>
      </c>
      <c r="C52" s="33"/>
      <c r="D52" s="33"/>
      <c r="E52" s="33"/>
      <c r="F52" s="33"/>
      <c r="G52" s="51"/>
      <c r="H52" s="45"/>
      <c r="I52" s="37"/>
      <c r="J52" s="11"/>
      <c r="K52" s="9"/>
      <c r="L52" s="9"/>
    </row>
    <row r="53" spans="2:13" s="1" customFormat="1" ht="15" customHeight="1" x14ac:dyDescent="0.25">
      <c r="B53" s="41" t="s">
        <v>162</v>
      </c>
      <c r="C53" s="33"/>
      <c r="D53" s="33"/>
      <c r="E53" s="33"/>
      <c r="F53" s="33">
        <f>SUM(H52)</f>
        <v>0</v>
      </c>
      <c r="G53" s="51"/>
      <c r="H53" s="47"/>
      <c r="I53" s="37" t="s">
        <v>15</v>
      </c>
      <c r="J53" s="11">
        <f>SUM(350*H52)</f>
        <v>0</v>
      </c>
      <c r="K53" s="9"/>
      <c r="L53" s="9">
        <f>SUM(C53:F53)*50</f>
        <v>0</v>
      </c>
    </row>
    <row r="54" spans="2:13" s="1" customFormat="1" ht="15" customHeight="1" x14ac:dyDescent="0.25">
      <c r="B54" s="41" t="s">
        <v>64</v>
      </c>
      <c r="C54" s="33">
        <f>SUM(H52)</f>
        <v>0</v>
      </c>
      <c r="D54" s="33"/>
      <c r="E54" s="33"/>
      <c r="F54" s="33"/>
      <c r="G54" s="51"/>
      <c r="H54" s="47"/>
      <c r="I54" s="37" t="s">
        <v>65</v>
      </c>
      <c r="J54" s="11"/>
      <c r="K54" s="9" t="s">
        <v>227</v>
      </c>
      <c r="L54" s="9">
        <f>SUM(C54:F54)*50</f>
        <v>0</v>
      </c>
    </row>
    <row r="55" spans="2:13" s="1" customFormat="1" ht="15" customHeight="1" x14ac:dyDescent="0.25">
      <c r="B55" s="38" t="s">
        <v>276</v>
      </c>
      <c r="C55" s="33"/>
      <c r="D55" s="33"/>
      <c r="E55" s="33"/>
      <c r="F55" s="33"/>
      <c r="G55" s="51"/>
      <c r="H55" s="45"/>
      <c r="I55" s="37"/>
      <c r="J55" s="11"/>
      <c r="K55" s="9"/>
      <c r="L55" s="9"/>
    </row>
    <row r="56" spans="2:13" s="1" customFormat="1" ht="15" customHeight="1" x14ac:dyDescent="0.25">
      <c r="B56" s="41" t="s">
        <v>162</v>
      </c>
      <c r="C56" s="33"/>
      <c r="D56" s="33"/>
      <c r="E56" s="33"/>
      <c r="F56" s="33">
        <f>SUM(H55)</f>
        <v>0</v>
      </c>
      <c r="G56" s="51"/>
      <c r="H56" s="47"/>
      <c r="I56" s="37" t="s">
        <v>15</v>
      </c>
      <c r="J56" s="11">
        <f>SUM(350*H55)</f>
        <v>0</v>
      </c>
      <c r="K56" s="9"/>
      <c r="L56" s="9">
        <f>SUM(C56:F56)*50</f>
        <v>0</v>
      </c>
    </row>
    <row r="57" spans="2:13" s="1" customFormat="1" ht="15" customHeight="1" x14ac:dyDescent="0.25">
      <c r="B57" s="41"/>
      <c r="C57" s="33"/>
      <c r="D57" s="33"/>
      <c r="E57" s="33"/>
      <c r="F57" s="33"/>
      <c r="G57" s="51"/>
      <c r="H57" s="47"/>
      <c r="I57" s="37"/>
      <c r="J57" s="11"/>
      <c r="K57" s="9" t="s">
        <v>227</v>
      </c>
      <c r="L57" s="9">
        <f>SUM(C57:F57)*50</f>
        <v>0</v>
      </c>
    </row>
    <row r="58" spans="2:13" s="1" customFormat="1" ht="15" customHeight="1" x14ac:dyDescent="0.25">
      <c r="B58" s="38" t="s">
        <v>35</v>
      </c>
      <c r="C58" s="33"/>
      <c r="D58" s="33"/>
      <c r="E58" s="33"/>
      <c r="F58" s="33"/>
      <c r="G58" s="51"/>
      <c r="H58" s="45"/>
      <c r="I58" s="37"/>
      <c r="J58" s="11"/>
      <c r="K58" s="9"/>
      <c r="L58" s="9"/>
    </row>
    <row r="59" spans="2:13" s="1" customFormat="1" ht="15" customHeight="1" x14ac:dyDescent="0.25">
      <c r="B59" s="41" t="s">
        <v>192</v>
      </c>
      <c r="C59" s="33"/>
      <c r="D59" s="33"/>
      <c r="E59" s="33"/>
      <c r="F59" s="33"/>
      <c r="G59" s="35"/>
      <c r="H59" s="48"/>
      <c r="I59" s="37" t="s">
        <v>15</v>
      </c>
      <c r="J59" s="11">
        <f>SUM(350*H58)</f>
        <v>0</v>
      </c>
      <c r="K59" s="9"/>
      <c r="L59" s="9"/>
    </row>
    <row r="60" spans="2:13" s="1" customFormat="1" ht="15" customHeight="1" x14ac:dyDescent="0.25">
      <c r="B60" s="41" t="s">
        <v>179</v>
      </c>
      <c r="C60" s="33"/>
      <c r="D60" s="33"/>
      <c r="E60" s="33">
        <f>SUM(H58)</f>
        <v>0</v>
      </c>
      <c r="F60" s="33">
        <f>SUM(H58)</f>
        <v>0</v>
      </c>
      <c r="G60" s="51"/>
      <c r="H60" s="47"/>
      <c r="I60" s="37" t="s">
        <v>23</v>
      </c>
      <c r="J60" s="11"/>
      <c r="K60" s="9">
        <f>SUM(30*H58)</f>
        <v>0</v>
      </c>
      <c r="L60" s="9">
        <f>SUM(C60:F60)*50</f>
        <v>0</v>
      </c>
    </row>
    <row r="61" spans="2:13" s="1" customFormat="1" ht="15" customHeight="1" x14ac:dyDescent="0.25">
      <c r="B61" s="41"/>
      <c r="C61" s="33"/>
      <c r="D61" s="33"/>
      <c r="E61" s="33"/>
      <c r="F61" s="33"/>
      <c r="G61" s="51"/>
      <c r="H61" s="47"/>
      <c r="I61" s="37"/>
      <c r="J61" s="11"/>
      <c r="K61" s="9"/>
      <c r="L61" s="9"/>
    </row>
    <row r="62" spans="2:13" s="1" customFormat="1" ht="15" customHeight="1" x14ac:dyDescent="0.25">
      <c r="B62" s="38" t="s">
        <v>38</v>
      </c>
      <c r="C62" s="33"/>
      <c r="D62" s="33"/>
      <c r="E62" s="33"/>
      <c r="F62" s="33"/>
      <c r="G62" s="51"/>
      <c r="H62" s="45"/>
      <c r="I62" s="37"/>
      <c r="J62" s="11"/>
      <c r="K62" s="9"/>
      <c r="L62" s="9"/>
    </row>
    <row r="63" spans="2:13" s="1" customFormat="1" ht="15" customHeight="1" x14ac:dyDescent="0.25">
      <c r="B63" s="41" t="s">
        <v>183</v>
      </c>
      <c r="C63" s="33"/>
      <c r="D63" s="33"/>
      <c r="E63" s="33"/>
      <c r="F63" s="33"/>
      <c r="G63" s="35"/>
      <c r="H63" s="48"/>
      <c r="I63" s="37"/>
      <c r="J63" s="11">
        <f>SUM(150*H62)</f>
        <v>0</v>
      </c>
      <c r="K63" s="9"/>
      <c r="L63" s="9"/>
    </row>
    <row r="64" spans="2:13" s="1" customFormat="1" ht="15" customHeight="1" x14ac:dyDescent="0.25">
      <c r="B64" s="41" t="s">
        <v>39</v>
      </c>
      <c r="C64" s="33"/>
      <c r="D64" s="33"/>
      <c r="E64" s="33">
        <f>SUM(H62)</f>
        <v>0</v>
      </c>
      <c r="F64" s="33"/>
      <c r="G64" s="51"/>
      <c r="H64" s="47"/>
      <c r="I64" s="50" t="s">
        <v>229</v>
      </c>
      <c r="J64" s="11"/>
      <c r="K64" s="9"/>
      <c r="L64" s="9">
        <f>SUM(C64:F64)*50</f>
        <v>0</v>
      </c>
    </row>
    <row r="65" spans="2:12" s="1" customFormat="1" ht="15" customHeight="1" x14ac:dyDescent="0.25">
      <c r="B65" s="43" t="s">
        <v>176</v>
      </c>
      <c r="C65" s="40"/>
      <c r="D65" s="40"/>
      <c r="E65" s="40">
        <f>SUM(H62)</f>
        <v>0</v>
      </c>
      <c r="F65" s="40"/>
      <c r="G65" s="51"/>
      <c r="H65" s="47"/>
      <c r="I65" s="50" t="s">
        <v>229</v>
      </c>
      <c r="J65" s="11"/>
      <c r="K65" s="9"/>
      <c r="L65" s="9">
        <f>SUM(C65:F65)*50</f>
        <v>0</v>
      </c>
    </row>
    <row r="66" spans="2:12" s="1" customFormat="1" ht="15" customHeight="1" x14ac:dyDescent="0.25">
      <c r="B66" s="41" t="s">
        <v>228</v>
      </c>
      <c r="C66" s="33"/>
      <c r="D66" s="33"/>
      <c r="E66" s="33">
        <f>SUM(H62)</f>
        <v>0</v>
      </c>
      <c r="F66" s="33"/>
      <c r="G66" s="51"/>
      <c r="H66" s="47"/>
      <c r="I66" s="50" t="s">
        <v>229</v>
      </c>
      <c r="J66" s="11"/>
      <c r="K66" s="9"/>
      <c r="L66" s="9">
        <f>SUM(C66:F66)*50</f>
        <v>0</v>
      </c>
    </row>
    <row r="67" spans="2:12" s="1" customFormat="1" ht="15" customHeight="1" x14ac:dyDescent="0.25">
      <c r="B67" s="41"/>
      <c r="C67" s="33"/>
      <c r="D67" s="33"/>
      <c r="E67" s="33"/>
      <c r="F67" s="33"/>
      <c r="G67" s="51"/>
      <c r="H67" s="47"/>
      <c r="I67" s="50"/>
      <c r="J67" s="11"/>
      <c r="K67" s="9"/>
      <c r="L67" s="9"/>
    </row>
    <row r="68" spans="2:12" s="1" customFormat="1" ht="15" customHeight="1" x14ac:dyDescent="0.25">
      <c r="B68" s="38" t="s">
        <v>42</v>
      </c>
      <c r="C68" s="33"/>
      <c r="D68" s="33"/>
      <c r="E68" s="33"/>
      <c r="F68" s="33"/>
      <c r="G68" s="53"/>
      <c r="H68" s="45"/>
      <c r="I68" s="44"/>
      <c r="J68" s="11"/>
      <c r="K68" s="9"/>
      <c r="L68" s="9"/>
    </row>
    <row r="69" spans="2:12" s="1" customFormat="1" ht="15" customHeight="1" x14ac:dyDescent="0.25">
      <c r="B69" s="41" t="s">
        <v>68</v>
      </c>
      <c r="C69" s="33"/>
      <c r="D69" s="33"/>
      <c r="E69" s="33">
        <f>SUM(H68)</f>
        <v>0</v>
      </c>
      <c r="F69" s="33"/>
      <c r="G69" s="51"/>
      <c r="H69" s="54"/>
      <c r="I69" s="37" t="s">
        <v>20</v>
      </c>
      <c r="J69" s="11"/>
      <c r="K69" s="9">
        <f>SUM(C69:F69)*55</f>
        <v>0</v>
      </c>
      <c r="L69" s="9">
        <f t="shared" ref="L69:L75" si="2">SUM(C69:F69)*50</f>
        <v>0</v>
      </c>
    </row>
    <row r="70" spans="2:12" s="1" customFormat="1" ht="15" customHeight="1" x14ac:dyDescent="0.25">
      <c r="B70" s="43" t="s">
        <v>69</v>
      </c>
      <c r="C70" s="40"/>
      <c r="D70" s="40"/>
      <c r="E70" s="40">
        <f>SUM(H68)</f>
        <v>0</v>
      </c>
      <c r="F70" s="40"/>
      <c r="G70" s="51"/>
      <c r="H70" s="47"/>
      <c r="I70" s="37" t="s">
        <v>20</v>
      </c>
      <c r="J70" s="11"/>
      <c r="K70" s="9">
        <f>SUM(C70:F70)*55</f>
        <v>0</v>
      </c>
      <c r="L70" s="9">
        <f t="shared" si="2"/>
        <v>0</v>
      </c>
    </row>
    <row r="71" spans="2:12" s="1" customFormat="1" ht="15" customHeight="1" x14ac:dyDescent="0.25">
      <c r="B71" s="43" t="s">
        <v>70</v>
      </c>
      <c r="C71" s="40"/>
      <c r="D71" s="33"/>
      <c r="E71" s="33">
        <f>SUM(H68)</f>
        <v>0</v>
      </c>
      <c r="F71" s="33"/>
      <c r="G71" s="51"/>
      <c r="H71" s="47"/>
      <c r="I71" s="37" t="s">
        <v>20</v>
      </c>
      <c r="J71" s="11"/>
      <c r="K71" s="9">
        <f>SUM(C71:F71)*55</f>
        <v>0</v>
      </c>
      <c r="L71" s="9">
        <f t="shared" si="2"/>
        <v>0</v>
      </c>
    </row>
    <row r="72" spans="2:12" s="1" customFormat="1" ht="15" customHeight="1" x14ac:dyDescent="0.25">
      <c r="B72" s="41" t="s">
        <v>71</v>
      </c>
      <c r="C72" s="33"/>
      <c r="D72" s="33"/>
      <c r="E72" s="33">
        <f>SUM(H68)</f>
        <v>0</v>
      </c>
      <c r="F72" s="33"/>
      <c r="G72" s="51"/>
      <c r="H72" s="47"/>
      <c r="I72" s="44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43" t="s">
        <v>72</v>
      </c>
      <c r="C73" s="40">
        <f>SUM(H68)</f>
        <v>0</v>
      </c>
      <c r="D73" s="40"/>
      <c r="E73" s="40"/>
      <c r="F73" s="40"/>
      <c r="G73" s="51"/>
      <c r="H73" s="47"/>
      <c r="I73" s="37" t="s">
        <v>24</v>
      </c>
      <c r="J73" s="11"/>
      <c r="K73" s="9">
        <f>SUM(C73:F73)*35</f>
        <v>0</v>
      </c>
      <c r="L73" s="9">
        <f t="shared" si="2"/>
        <v>0</v>
      </c>
    </row>
    <row r="74" spans="2:12" s="1" customFormat="1" ht="15" customHeight="1" x14ac:dyDescent="0.25">
      <c r="B74" s="41" t="s">
        <v>161</v>
      </c>
      <c r="C74" s="33"/>
      <c r="D74" s="33"/>
      <c r="E74" s="33">
        <f>SUM(H68)</f>
        <v>0</v>
      </c>
      <c r="F74" s="33"/>
      <c r="G74" s="51"/>
      <c r="H74" s="47"/>
      <c r="I74" s="52" t="s">
        <v>230</v>
      </c>
      <c r="J74" s="11"/>
      <c r="K74" s="9">
        <f>SUM(C74:F74)*220</f>
        <v>0</v>
      </c>
      <c r="L74" s="9">
        <f t="shared" si="2"/>
        <v>0</v>
      </c>
    </row>
    <row r="75" spans="2:12" s="1" customFormat="1" ht="15" customHeight="1" x14ac:dyDescent="0.25">
      <c r="B75" s="41" t="s">
        <v>73</v>
      </c>
      <c r="C75" s="33">
        <f>SUM(H68)</f>
        <v>0</v>
      </c>
      <c r="D75" s="33"/>
      <c r="E75" s="33"/>
      <c r="F75" s="33"/>
      <c r="G75" s="51"/>
      <c r="H75" s="47"/>
      <c r="I75" s="52" t="s">
        <v>74</v>
      </c>
      <c r="J75" s="11"/>
      <c r="K75" s="9">
        <f>SUM(C75:F75)*350</f>
        <v>0</v>
      </c>
      <c r="L75" s="9">
        <f t="shared" si="2"/>
        <v>0</v>
      </c>
    </row>
    <row r="76" spans="2:12" s="1" customFormat="1" ht="15" customHeight="1" x14ac:dyDescent="0.25">
      <c r="B76" s="41"/>
      <c r="C76" s="33"/>
      <c r="D76" s="33"/>
      <c r="E76" s="33"/>
      <c r="F76" s="33"/>
      <c r="G76" s="51"/>
      <c r="H76" s="47"/>
      <c r="I76" s="52"/>
      <c r="J76" s="11"/>
      <c r="K76" s="9"/>
      <c r="L76" s="9"/>
    </row>
    <row r="77" spans="2:12" s="1" customFormat="1" ht="15" customHeight="1" x14ac:dyDescent="0.25">
      <c r="B77" s="38" t="s">
        <v>43</v>
      </c>
      <c r="C77" s="33"/>
      <c r="D77" s="33"/>
      <c r="E77" s="33"/>
      <c r="F77" s="33"/>
      <c r="G77" s="35"/>
      <c r="H77" s="33"/>
      <c r="I77" s="44"/>
      <c r="J77" s="11">
        <f>SUM(150*H77)</f>
        <v>0</v>
      </c>
      <c r="K77" s="9"/>
      <c r="L77" s="9"/>
    </row>
    <row r="78" spans="2:12" s="1" customFormat="1" ht="15" customHeight="1" x14ac:dyDescent="0.25">
      <c r="B78" s="41" t="s">
        <v>75</v>
      </c>
      <c r="C78" s="33"/>
      <c r="D78" s="33"/>
      <c r="E78" s="33">
        <f>SUM(H77)</f>
        <v>0</v>
      </c>
      <c r="F78" s="33"/>
      <c r="G78" s="53"/>
      <c r="H78" s="47"/>
      <c r="I78" s="37" t="s">
        <v>15</v>
      </c>
      <c r="J78" s="11"/>
      <c r="K78" s="9"/>
      <c r="L78" s="9">
        <f>SUM(C78:F78)*50</f>
        <v>0</v>
      </c>
    </row>
    <row r="79" spans="2:12" s="1" customFormat="1" ht="15" customHeight="1" x14ac:dyDescent="0.25">
      <c r="B79" s="41"/>
      <c r="C79" s="33"/>
      <c r="D79" s="33"/>
      <c r="E79" s="33"/>
      <c r="F79" s="33"/>
      <c r="G79" s="51"/>
      <c r="H79" s="47"/>
      <c r="I79" s="37"/>
      <c r="J79" s="11"/>
      <c r="K79" s="9"/>
      <c r="L79" s="9"/>
    </row>
    <row r="80" spans="2:12" s="1" customFormat="1" ht="15" customHeight="1" x14ac:dyDescent="0.25">
      <c r="B80" s="38" t="s">
        <v>40</v>
      </c>
      <c r="C80" s="40"/>
      <c r="D80" s="40"/>
      <c r="E80" s="40"/>
      <c r="F80" s="40"/>
      <c r="G80" s="51"/>
      <c r="H80" s="45">
        <v>0</v>
      </c>
      <c r="I80" s="37"/>
      <c r="J80" s="11"/>
      <c r="K80" s="9"/>
      <c r="L80" s="9"/>
    </row>
    <row r="81" spans="2:13" s="1" customFormat="1" ht="15" customHeight="1" x14ac:dyDescent="0.25">
      <c r="B81" s="41" t="s">
        <v>169</v>
      </c>
      <c r="C81" s="33"/>
      <c r="D81" s="33"/>
      <c r="E81" s="33">
        <f>SUM(H80)</f>
        <v>0</v>
      </c>
      <c r="F81" s="33"/>
      <c r="G81" s="51"/>
      <c r="H81" s="47"/>
      <c r="I81" s="44" t="s">
        <v>20</v>
      </c>
      <c r="J81" s="11"/>
      <c r="K81" s="9">
        <f t="shared" ref="K81:K86" si="3">SUM(C81:F81)*55</f>
        <v>0</v>
      </c>
      <c r="L81" s="9">
        <f t="shared" ref="L81:L89" si="4">SUM(C81:F81)*50</f>
        <v>0</v>
      </c>
    </row>
    <row r="82" spans="2:13" s="1" customFormat="1" ht="15" customHeight="1" x14ac:dyDescent="0.25">
      <c r="B82" s="41" t="s">
        <v>76</v>
      </c>
      <c r="C82" s="33"/>
      <c r="D82" s="33"/>
      <c r="E82" s="33">
        <f>SUM(H80)</f>
        <v>0</v>
      </c>
      <c r="F82" s="33"/>
      <c r="G82" s="51"/>
      <c r="H82" s="47"/>
      <c r="I82" s="44" t="s">
        <v>20</v>
      </c>
      <c r="J82" s="11"/>
      <c r="K82" s="9">
        <f t="shared" si="3"/>
        <v>0</v>
      </c>
      <c r="L82" s="9">
        <f t="shared" si="4"/>
        <v>0</v>
      </c>
    </row>
    <row r="83" spans="2:13" s="1" customFormat="1" ht="15" customHeight="1" x14ac:dyDescent="0.25">
      <c r="B83" s="41" t="s">
        <v>77</v>
      </c>
      <c r="C83" s="33"/>
      <c r="D83" s="33"/>
      <c r="E83" s="33">
        <f>SUM(H80)</f>
        <v>0</v>
      </c>
      <c r="F83" s="33"/>
      <c r="G83" s="51"/>
      <c r="H83" s="47"/>
      <c r="I83" s="37" t="s">
        <v>20</v>
      </c>
      <c r="J83" s="11"/>
      <c r="K83" s="9">
        <f t="shared" si="3"/>
        <v>0</v>
      </c>
      <c r="L83" s="9">
        <f t="shared" si="4"/>
        <v>0</v>
      </c>
    </row>
    <row r="84" spans="2:13" s="1" customFormat="1" ht="15" customHeight="1" x14ac:dyDescent="0.25">
      <c r="B84" s="43" t="s">
        <v>170</v>
      </c>
      <c r="C84" s="40"/>
      <c r="D84" s="40"/>
      <c r="E84" s="40">
        <f>SUM(H80)</f>
        <v>0</v>
      </c>
      <c r="F84" s="40"/>
      <c r="G84" s="51"/>
      <c r="H84" s="47"/>
      <c r="I84" s="37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43" t="s">
        <v>78</v>
      </c>
      <c r="C85" s="40"/>
      <c r="D85" s="33"/>
      <c r="E85" s="33">
        <f>SUM(H80)</f>
        <v>0</v>
      </c>
      <c r="F85" s="33"/>
      <c r="G85" s="51"/>
      <c r="H85" s="47"/>
      <c r="I85" s="37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43" t="s">
        <v>79</v>
      </c>
      <c r="C86" s="40"/>
      <c r="D86" s="40"/>
      <c r="E86" s="40">
        <f>SUM(H80)</f>
        <v>0</v>
      </c>
      <c r="F86" s="40"/>
      <c r="G86" s="51"/>
      <c r="H86" s="47"/>
      <c r="I86" s="37" t="s">
        <v>20</v>
      </c>
      <c r="J86" s="11"/>
      <c r="K86" s="9">
        <f t="shared" si="3"/>
        <v>0</v>
      </c>
      <c r="L86" s="9">
        <f t="shared" si="4"/>
        <v>0</v>
      </c>
      <c r="M86" s="1">
        <f>SUM(K81:K88)</f>
        <v>0</v>
      </c>
    </row>
    <row r="87" spans="2:13" s="1" customFormat="1" ht="15" customHeight="1" x14ac:dyDescent="0.25">
      <c r="B87" s="41" t="s">
        <v>80</v>
      </c>
      <c r="C87" s="33">
        <f>SUM(H80)</f>
        <v>0</v>
      </c>
      <c r="D87" s="33"/>
      <c r="E87" s="33"/>
      <c r="F87" s="33"/>
      <c r="G87" s="51"/>
      <c r="H87" s="47"/>
      <c r="I87" s="37" t="s">
        <v>24</v>
      </c>
      <c r="J87" s="11"/>
      <c r="K87" s="9">
        <f>SUM(C87:F87)*35</f>
        <v>0</v>
      </c>
      <c r="L87" s="9">
        <f t="shared" si="4"/>
        <v>0</v>
      </c>
    </row>
    <row r="88" spans="2:13" s="1" customFormat="1" ht="15" customHeight="1" x14ac:dyDescent="0.25">
      <c r="B88" s="41" t="s">
        <v>161</v>
      </c>
      <c r="C88" s="33"/>
      <c r="D88" s="33"/>
      <c r="E88" s="33">
        <f>SUM(H80)</f>
        <v>0</v>
      </c>
      <c r="F88" s="33"/>
      <c r="G88" s="51"/>
      <c r="H88" s="47"/>
      <c r="I88" s="52" t="s">
        <v>230</v>
      </c>
      <c r="J88" s="11"/>
      <c r="K88" s="9">
        <f>SUM(C88:F88)*220</f>
        <v>0</v>
      </c>
      <c r="L88" s="9">
        <f t="shared" si="4"/>
        <v>0</v>
      </c>
    </row>
    <row r="89" spans="2:13" s="1" customFormat="1" ht="15" customHeight="1" x14ac:dyDescent="0.25">
      <c r="B89" s="41" t="s">
        <v>73</v>
      </c>
      <c r="C89" s="33">
        <f>SUM(H80)</f>
        <v>0</v>
      </c>
      <c r="D89" s="33"/>
      <c r="E89" s="33"/>
      <c r="F89" s="33"/>
      <c r="G89" s="51"/>
      <c r="H89" s="47"/>
      <c r="I89" s="52" t="s">
        <v>74</v>
      </c>
      <c r="J89" s="11"/>
      <c r="K89" s="9">
        <f>SUM(C89:F89)*350</f>
        <v>0</v>
      </c>
      <c r="L89" s="9">
        <f t="shared" si="4"/>
        <v>0</v>
      </c>
    </row>
    <row r="90" spans="2:13" s="1" customFormat="1" ht="15" customHeight="1" x14ac:dyDescent="0.25">
      <c r="B90" s="41"/>
      <c r="C90" s="33"/>
      <c r="D90" s="33"/>
      <c r="E90" s="33"/>
      <c r="F90" s="33"/>
      <c r="G90" s="51"/>
      <c r="H90" s="47"/>
      <c r="I90" s="52"/>
      <c r="J90" s="11"/>
      <c r="K90" s="9"/>
      <c r="L90" s="9"/>
    </row>
    <row r="91" spans="2:13" s="1" customFormat="1" ht="15" customHeight="1" x14ac:dyDescent="0.25">
      <c r="B91" s="38" t="s">
        <v>41</v>
      </c>
      <c r="C91" s="33"/>
      <c r="D91" s="33"/>
      <c r="E91" s="33"/>
      <c r="F91" s="33"/>
      <c r="G91" s="35"/>
      <c r="H91" s="33"/>
      <c r="I91" s="44"/>
      <c r="J91" s="11">
        <f>SUM(150*H91)</f>
        <v>0</v>
      </c>
      <c r="K91" s="9"/>
      <c r="L91" s="9"/>
    </row>
    <row r="92" spans="2:13" s="1" customFormat="1" ht="15" customHeight="1" x14ac:dyDescent="0.25">
      <c r="B92" s="43" t="s">
        <v>81</v>
      </c>
      <c r="C92" s="40"/>
      <c r="D92" s="40"/>
      <c r="E92" s="40">
        <f>SUM(H91)</f>
        <v>0</v>
      </c>
      <c r="F92" s="40"/>
      <c r="G92" s="51"/>
      <c r="H92" s="47"/>
      <c r="I92" s="37" t="s">
        <v>15</v>
      </c>
      <c r="J92" s="11"/>
      <c r="K92" s="9"/>
      <c r="L92" s="9">
        <f>SUM(C92:F92)*50</f>
        <v>0</v>
      </c>
    </row>
    <row r="93" spans="2:13" s="1" customFormat="1" ht="15" customHeight="1" x14ac:dyDescent="0.25">
      <c r="B93" s="43"/>
      <c r="C93" s="40"/>
      <c r="D93" s="40"/>
      <c r="E93" s="40"/>
      <c r="F93" s="40"/>
      <c r="G93" s="51"/>
      <c r="H93" s="47"/>
      <c r="I93" s="37"/>
      <c r="J93" s="11"/>
      <c r="K93" s="9"/>
      <c r="L93" s="9"/>
    </row>
    <row r="94" spans="2:13" s="1" customFormat="1" ht="15" customHeight="1" x14ac:dyDescent="0.25">
      <c r="B94" s="38" t="s">
        <v>82</v>
      </c>
      <c r="C94" s="33"/>
      <c r="D94" s="33"/>
      <c r="E94" s="33"/>
      <c r="F94" s="33"/>
      <c r="G94" s="35"/>
      <c r="H94" s="33"/>
      <c r="I94" s="44"/>
      <c r="J94" s="11">
        <f>SUM(150*H94)</f>
        <v>0</v>
      </c>
      <c r="K94" s="9"/>
      <c r="L94" s="9"/>
    </row>
    <row r="95" spans="2:13" s="1" customFormat="1" ht="15" customHeight="1" x14ac:dyDescent="0.25">
      <c r="B95" s="43" t="s">
        <v>83</v>
      </c>
      <c r="C95" s="40"/>
      <c r="D95" s="40"/>
      <c r="E95" s="40">
        <f>SUM(H94)</f>
        <v>0</v>
      </c>
      <c r="F95" s="40"/>
      <c r="G95" s="51"/>
      <c r="H95" s="47"/>
      <c r="I95" s="37" t="s">
        <v>15</v>
      </c>
      <c r="J95" s="11"/>
      <c r="K95" s="9"/>
      <c r="L95" s="9">
        <f>SUM(C95:F95)*50</f>
        <v>0</v>
      </c>
    </row>
    <row r="96" spans="2:13" s="1" customFormat="1" ht="15" customHeight="1" x14ac:dyDescent="0.25">
      <c r="B96" s="43"/>
      <c r="C96" s="40"/>
      <c r="D96" s="40"/>
      <c r="E96" s="40"/>
      <c r="F96" s="40"/>
      <c r="G96" s="51"/>
      <c r="H96" s="47"/>
      <c r="I96" s="37"/>
      <c r="J96" s="11"/>
      <c r="K96" s="9"/>
      <c r="L96" s="9"/>
    </row>
    <row r="97" spans="2:13" s="1" customFormat="1" ht="15" customHeight="1" x14ac:dyDescent="0.25">
      <c r="B97" s="38" t="s">
        <v>84</v>
      </c>
      <c r="C97" s="33"/>
      <c r="D97" s="33"/>
      <c r="E97" s="33"/>
      <c r="F97" s="33"/>
      <c r="G97" s="51"/>
      <c r="H97" s="45"/>
      <c r="I97" s="37"/>
      <c r="J97" s="11"/>
      <c r="K97" s="9"/>
      <c r="L97" s="9"/>
    </row>
    <row r="98" spans="2:13" s="1" customFormat="1" ht="15" customHeight="1" x14ac:dyDescent="0.25">
      <c r="B98" s="41" t="s">
        <v>85</v>
      </c>
      <c r="C98" s="33"/>
      <c r="D98" s="33"/>
      <c r="E98" s="33">
        <f>SUM(H97)</f>
        <v>0</v>
      </c>
      <c r="F98" s="33"/>
      <c r="G98" s="51"/>
      <c r="H98" s="47"/>
      <c r="I98" s="37" t="s">
        <v>20</v>
      </c>
      <c r="J98" s="11"/>
      <c r="K98" s="9">
        <f>SUM(C98:F98)*55</f>
        <v>0</v>
      </c>
      <c r="L98" s="9">
        <f t="shared" ref="L98:L103" si="5">SUM(C98:F98)*50</f>
        <v>0</v>
      </c>
    </row>
    <row r="99" spans="2:13" s="1" customFormat="1" ht="15" customHeight="1" x14ac:dyDescent="0.25">
      <c r="B99" s="41" t="s">
        <v>86</v>
      </c>
      <c r="C99" s="33"/>
      <c r="D99" s="33"/>
      <c r="E99" s="33">
        <f>SUM(H97)</f>
        <v>0</v>
      </c>
      <c r="F99" s="33"/>
      <c r="G99" s="51"/>
      <c r="H99" s="47"/>
      <c r="I99" s="37" t="s">
        <v>20</v>
      </c>
      <c r="J99" s="11"/>
      <c r="K99" s="9">
        <f>SUM(C99:F99)*55</f>
        <v>0</v>
      </c>
      <c r="L99" s="9">
        <f t="shared" si="5"/>
        <v>0</v>
      </c>
    </row>
    <row r="100" spans="2:13" ht="15" customHeight="1" x14ac:dyDescent="0.25">
      <c r="B100" s="43" t="s">
        <v>87</v>
      </c>
      <c r="C100" s="40"/>
      <c r="D100" s="40"/>
      <c r="E100" s="40">
        <f>SUM(H97)</f>
        <v>0</v>
      </c>
      <c r="F100" s="40"/>
      <c r="G100" s="51"/>
      <c r="H100" s="47"/>
      <c r="I100" s="37" t="s">
        <v>20</v>
      </c>
      <c r="J100" s="11"/>
      <c r="K100" s="9">
        <f>SUM(C100:F100)*55</f>
        <v>0</v>
      </c>
      <c r="L100" s="9">
        <f t="shared" si="5"/>
        <v>0</v>
      </c>
      <c r="M100" s="1"/>
    </row>
    <row r="101" spans="2:13" ht="15" customHeight="1" x14ac:dyDescent="0.25">
      <c r="B101" s="41" t="s">
        <v>88</v>
      </c>
      <c r="C101" s="33"/>
      <c r="D101" s="33"/>
      <c r="E101" s="33">
        <f>SUM(H97)</f>
        <v>0</v>
      </c>
      <c r="F101" s="33"/>
      <c r="G101" s="51"/>
      <c r="H101" s="47"/>
      <c r="I101" s="37" t="s">
        <v>20</v>
      </c>
      <c r="K101" s="9">
        <f>SUM(C101:F101)*55</f>
        <v>0</v>
      </c>
      <c r="L101" s="9">
        <f t="shared" si="5"/>
        <v>0</v>
      </c>
    </row>
    <row r="102" spans="2:13" s="1" customFormat="1" ht="15" customHeight="1" x14ac:dyDescent="0.25">
      <c r="B102" s="41" t="s">
        <v>89</v>
      </c>
      <c r="C102" s="33">
        <f>SUM(H97)</f>
        <v>0</v>
      </c>
      <c r="D102" s="33"/>
      <c r="E102" s="33"/>
      <c r="F102" s="33"/>
      <c r="G102" s="51"/>
      <c r="H102" s="47"/>
      <c r="I102" s="37" t="s">
        <v>24</v>
      </c>
      <c r="J102" s="8"/>
      <c r="K102" s="9">
        <f>SUM(C102:F102)*35</f>
        <v>0</v>
      </c>
      <c r="L102" s="9">
        <f t="shared" si="5"/>
        <v>0</v>
      </c>
      <c r="M102" s="2"/>
    </row>
    <row r="103" spans="2:13" ht="15" customHeight="1" x14ac:dyDescent="0.25">
      <c r="B103" s="41" t="s">
        <v>73</v>
      </c>
      <c r="C103" s="33">
        <f>SUM(H97)</f>
        <v>0</v>
      </c>
      <c r="D103" s="33"/>
      <c r="E103" s="33"/>
      <c r="F103" s="33"/>
      <c r="G103" s="51"/>
      <c r="H103" s="47"/>
      <c r="I103" s="52" t="s">
        <v>74</v>
      </c>
      <c r="J103" s="11"/>
      <c r="K103" s="9">
        <f>SUM(C103:F103)*350</f>
        <v>0</v>
      </c>
      <c r="L103" s="9">
        <f t="shared" si="5"/>
        <v>0</v>
      </c>
      <c r="M103" s="1"/>
    </row>
    <row r="104" spans="2:13" ht="15" customHeight="1" x14ac:dyDescent="0.25">
      <c r="B104" s="41"/>
      <c r="C104" s="33"/>
      <c r="D104" s="33"/>
      <c r="E104" s="33"/>
      <c r="F104" s="33"/>
      <c r="G104" s="51"/>
      <c r="H104" s="47"/>
      <c r="I104" s="52"/>
      <c r="K104" s="9"/>
      <c r="L104" s="9"/>
    </row>
    <row r="105" spans="2:13" ht="15" customHeight="1" x14ac:dyDescent="0.25">
      <c r="B105" s="38" t="s">
        <v>90</v>
      </c>
      <c r="C105" s="33"/>
      <c r="D105" s="33"/>
      <c r="E105" s="33"/>
      <c r="F105" s="33"/>
      <c r="G105" s="35"/>
      <c r="H105" s="33"/>
      <c r="I105" s="44"/>
      <c r="J105" s="8">
        <f>SUM(150*H105)</f>
        <v>0</v>
      </c>
      <c r="K105" s="9"/>
      <c r="L105" s="9"/>
    </row>
    <row r="106" spans="2:13" ht="15" customHeight="1" x14ac:dyDescent="0.25">
      <c r="B106" s="41" t="s">
        <v>91</v>
      </c>
      <c r="C106" s="40"/>
      <c r="D106" s="40"/>
      <c r="E106" s="40">
        <f>SUM(H105)</f>
        <v>0</v>
      </c>
      <c r="F106" s="40"/>
      <c r="G106" s="51"/>
      <c r="H106" s="47"/>
      <c r="I106" s="37" t="s">
        <v>15</v>
      </c>
      <c r="K106" s="9"/>
      <c r="L106" s="9">
        <f>SUM(C106:F106)*50</f>
        <v>0</v>
      </c>
    </row>
    <row r="107" spans="2:13" ht="15" customHeight="1" x14ac:dyDescent="0.25">
      <c r="B107" s="41"/>
      <c r="C107" s="40"/>
      <c r="D107" s="40"/>
      <c r="E107" s="40"/>
      <c r="F107" s="40"/>
      <c r="G107" s="51"/>
      <c r="H107" s="47"/>
      <c r="I107" s="37"/>
      <c r="K107" s="9"/>
      <c r="L107" s="9"/>
    </row>
    <row r="108" spans="2:13" ht="15" customHeight="1" x14ac:dyDescent="0.25">
      <c r="B108" s="38" t="s">
        <v>92</v>
      </c>
      <c r="C108" s="40"/>
      <c r="D108" s="40"/>
      <c r="E108" s="40"/>
      <c r="F108" s="40"/>
      <c r="G108" s="51"/>
      <c r="H108" s="45"/>
      <c r="I108" s="37"/>
      <c r="K108" s="9"/>
      <c r="L108" s="9"/>
    </row>
    <row r="109" spans="2:13" ht="15" customHeight="1" x14ac:dyDescent="0.25">
      <c r="B109" s="41" t="s">
        <v>93</v>
      </c>
      <c r="C109" s="33"/>
      <c r="D109" s="33"/>
      <c r="E109" s="33">
        <f>SUM(H108)</f>
        <v>0</v>
      </c>
      <c r="F109" s="33"/>
      <c r="G109" s="51"/>
      <c r="H109" s="47"/>
      <c r="I109" s="44" t="s">
        <v>20</v>
      </c>
      <c r="K109" s="9">
        <f>SUM(C109:F109)*55</f>
        <v>0</v>
      </c>
      <c r="L109" s="9">
        <f t="shared" ref="L109:L115" si="6">SUM(C109:F109)*50</f>
        <v>0</v>
      </c>
    </row>
    <row r="110" spans="2:13" ht="15" customHeight="1" x14ac:dyDescent="0.25">
      <c r="B110" s="41" t="s">
        <v>94</v>
      </c>
      <c r="C110" s="33"/>
      <c r="D110" s="33"/>
      <c r="E110" s="33">
        <f>SUM(H108)</f>
        <v>0</v>
      </c>
      <c r="F110" s="33"/>
      <c r="G110" s="51"/>
      <c r="H110" s="47"/>
      <c r="I110" s="37" t="s">
        <v>20</v>
      </c>
      <c r="K110" s="9">
        <f>SUM(C110:F110)*55</f>
        <v>0</v>
      </c>
      <c r="L110" s="9">
        <f t="shared" si="6"/>
        <v>0</v>
      </c>
    </row>
    <row r="111" spans="2:13" ht="15" customHeight="1" x14ac:dyDescent="0.25">
      <c r="B111" s="43" t="s">
        <v>95</v>
      </c>
      <c r="C111" s="40"/>
      <c r="D111" s="33"/>
      <c r="E111" s="33">
        <f>SUM(H108)</f>
        <v>0</v>
      </c>
      <c r="F111" s="33"/>
      <c r="G111" s="51"/>
      <c r="H111" s="47"/>
      <c r="I111" s="37" t="s">
        <v>20</v>
      </c>
      <c r="K111" s="9">
        <f>SUM(C111:F111)*55</f>
        <v>0</v>
      </c>
      <c r="L111" s="9">
        <f t="shared" si="6"/>
        <v>0</v>
      </c>
    </row>
    <row r="112" spans="2:13" ht="15" customHeight="1" x14ac:dyDescent="0.25">
      <c r="B112" s="43" t="s">
        <v>96</v>
      </c>
      <c r="C112" s="40"/>
      <c r="D112" s="40"/>
      <c r="E112" s="40">
        <f>SUM(H108)</f>
        <v>0</v>
      </c>
      <c r="F112" s="40"/>
      <c r="G112" s="51"/>
      <c r="H112" s="47"/>
      <c r="I112" s="37" t="s">
        <v>20</v>
      </c>
      <c r="K112" s="9">
        <f>SUM(C112:F112)*55</f>
        <v>0</v>
      </c>
      <c r="L112" s="9">
        <f t="shared" si="6"/>
        <v>0</v>
      </c>
    </row>
    <row r="113" spans="2:13" s="1" customFormat="1" ht="15" customHeight="1" x14ac:dyDescent="0.25">
      <c r="B113" s="41" t="s">
        <v>97</v>
      </c>
      <c r="C113" s="33">
        <f>SUM(H108)</f>
        <v>0</v>
      </c>
      <c r="D113" s="33"/>
      <c r="E113" s="33"/>
      <c r="F113" s="33"/>
      <c r="G113" s="51"/>
      <c r="H113" s="47"/>
      <c r="I113" s="37" t="s">
        <v>24</v>
      </c>
      <c r="J113" s="8"/>
      <c r="K113" s="9">
        <f>SUM(C113:F113)*35</f>
        <v>0</v>
      </c>
      <c r="L113" s="9">
        <f t="shared" si="6"/>
        <v>0</v>
      </c>
      <c r="M113" s="2"/>
    </row>
    <row r="114" spans="2:13" s="1" customFormat="1" ht="15" customHeight="1" x14ac:dyDescent="0.25">
      <c r="B114" s="41" t="s">
        <v>161</v>
      </c>
      <c r="C114" s="33"/>
      <c r="D114" s="33"/>
      <c r="E114" s="33">
        <f>SUM(H108)</f>
        <v>0</v>
      </c>
      <c r="F114" s="33"/>
      <c r="G114" s="51"/>
      <c r="H114" s="47"/>
      <c r="I114" s="52" t="s">
        <v>230</v>
      </c>
      <c r="J114" s="11"/>
      <c r="K114" s="9">
        <f>SUM(C114:F114)*220</f>
        <v>0</v>
      </c>
      <c r="L114" s="9">
        <f t="shared" si="6"/>
        <v>0</v>
      </c>
    </row>
    <row r="115" spans="2:13" ht="15" customHeight="1" x14ac:dyDescent="0.25">
      <c r="B115" s="41" t="s">
        <v>73</v>
      </c>
      <c r="C115" s="33">
        <f>SUM(H108)</f>
        <v>0</v>
      </c>
      <c r="D115" s="33"/>
      <c r="E115" s="33"/>
      <c r="F115" s="33"/>
      <c r="G115" s="51"/>
      <c r="H115" s="47"/>
      <c r="I115" s="52" t="s">
        <v>74</v>
      </c>
      <c r="J115" s="11"/>
      <c r="K115" s="9">
        <f>SUM(C115:F115)*350</f>
        <v>0</v>
      </c>
      <c r="L115" s="9">
        <f t="shared" si="6"/>
        <v>0</v>
      </c>
      <c r="M115" s="1"/>
    </row>
    <row r="116" spans="2:13" ht="15" customHeight="1" x14ac:dyDescent="0.25">
      <c r="B116" s="41"/>
      <c r="C116" s="33"/>
      <c r="D116" s="33"/>
      <c r="E116" s="33"/>
      <c r="F116" s="33"/>
      <c r="G116" s="51"/>
      <c r="H116" s="47"/>
      <c r="I116" s="52"/>
      <c r="K116" s="9"/>
      <c r="L116" s="9"/>
    </row>
    <row r="117" spans="2:13" ht="15" customHeight="1" x14ac:dyDescent="0.25">
      <c r="B117" s="38" t="s">
        <v>98</v>
      </c>
      <c r="C117" s="33"/>
      <c r="D117" s="33"/>
      <c r="E117" s="33"/>
      <c r="F117" s="33"/>
      <c r="G117" s="35"/>
      <c r="H117" s="33"/>
      <c r="I117" s="44"/>
      <c r="J117" s="8">
        <f>SUM(150*H117)</f>
        <v>0</v>
      </c>
      <c r="K117" s="9"/>
      <c r="L117" s="9"/>
    </row>
    <row r="118" spans="2:13" ht="15" customHeight="1" x14ac:dyDescent="0.25">
      <c r="B118" s="43" t="s">
        <v>99</v>
      </c>
      <c r="C118" s="40"/>
      <c r="D118" s="40"/>
      <c r="E118" s="40">
        <f>SUM(H117)</f>
        <v>0</v>
      </c>
      <c r="F118" s="40"/>
      <c r="G118" s="51"/>
      <c r="H118" s="47"/>
      <c r="I118" s="37" t="s">
        <v>15</v>
      </c>
      <c r="K118" s="9"/>
      <c r="L118" s="9">
        <f>SUM(C118:F118)*50</f>
        <v>0</v>
      </c>
    </row>
    <row r="119" spans="2:13" ht="15" customHeight="1" x14ac:dyDescent="0.25">
      <c r="B119" s="43"/>
      <c r="C119" s="40"/>
      <c r="D119" s="40"/>
      <c r="E119" s="40"/>
      <c r="F119" s="40"/>
      <c r="G119" s="51"/>
      <c r="H119" s="47"/>
      <c r="I119" s="37"/>
      <c r="K119" s="9"/>
      <c r="L119" s="9"/>
    </row>
    <row r="120" spans="2:13" ht="15" customHeight="1" x14ac:dyDescent="0.25">
      <c r="B120" s="38" t="s">
        <v>100</v>
      </c>
      <c r="C120" s="33"/>
      <c r="D120" s="33"/>
      <c r="E120" s="33"/>
      <c r="F120" s="33"/>
      <c r="G120" s="35"/>
      <c r="H120" s="33"/>
      <c r="I120" s="44"/>
      <c r="J120" s="8">
        <f>SUM(150*H120)</f>
        <v>0</v>
      </c>
      <c r="K120" s="9"/>
      <c r="L120" s="9"/>
    </row>
    <row r="121" spans="2:13" ht="15" customHeight="1" x14ac:dyDescent="0.25">
      <c r="B121" s="43" t="s">
        <v>101</v>
      </c>
      <c r="C121" s="40"/>
      <c r="D121" s="40"/>
      <c r="E121" s="40">
        <f>SUM(H120)</f>
        <v>0</v>
      </c>
      <c r="F121" s="40"/>
      <c r="G121" s="51"/>
      <c r="H121" s="47"/>
      <c r="I121" s="37" t="s">
        <v>15</v>
      </c>
      <c r="K121" s="9"/>
      <c r="L121" s="9">
        <f>SUM(C121:F121)*50</f>
        <v>0</v>
      </c>
    </row>
    <row r="122" spans="2:13" ht="15" customHeight="1" x14ac:dyDescent="0.25">
      <c r="B122" s="43" t="s">
        <v>7</v>
      </c>
      <c r="C122" s="40">
        <f>SUM(H120)</f>
        <v>0</v>
      </c>
      <c r="D122" s="40"/>
      <c r="E122" s="40"/>
      <c r="F122" s="40"/>
      <c r="G122" s="51"/>
      <c r="H122" s="47"/>
      <c r="I122" s="37" t="s">
        <v>1</v>
      </c>
      <c r="K122" s="9">
        <f>SUM(C122:F122)*240</f>
        <v>0</v>
      </c>
      <c r="L122" s="9">
        <f>SUM(C122:F122)*50</f>
        <v>0</v>
      </c>
    </row>
    <row r="123" spans="2:13" ht="15" customHeight="1" x14ac:dyDescent="0.25">
      <c r="B123" s="43"/>
      <c r="C123" s="40"/>
      <c r="D123" s="40"/>
      <c r="E123" s="40"/>
      <c r="F123" s="40"/>
      <c r="G123" s="51"/>
      <c r="H123" s="47"/>
      <c r="I123" s="37"/>
      <c r="K123" s="9"/>
      <c r="L123" s="9"/>
    </row>
    <row r="124" spans="2:13" ht="15" customHeight="1" x14ac:dyDescent="0.25">
      <c r="B124" s="38" t="s">
        <v>277</v>
      </c>
      <c r="C124" s="33"/>
      <c r="D124" s="33"/>
      <c r="E124" s="33"/>
      <c r="F124" s="33"/>
      <c r="G124" s="51"/>
      <c r="H124" s="47"/>
      <c r="I124" s="37"/>
      <c r="K124" s="9"/>
      <c r="L124" s="9"/>
    </row>
    <row r="125" spans="2:13" ht="15" customHeight="1" x14ac:dyDescent="0.25">
      <c r="B125" s="41" t="s">
        <v>184</v>
      </c>
      <c r="C125" s="33"/>
      <c r="D125" s="33"/>
      <c r="E125" s="33"/>
      <c r="F125" s="33"/>
      <c r="G125" s="53"/>
      <c r="H125" s="45"/>
      <c r="I125" s="37" t="s">
        <v>231</v>
      </c>
      <c r="K125" s="9"/>
      <c r="L125" s="9"/>
    </row>
    <row r="126" spans="2:13" ht="15" customHeight="1" x14ac:dyDescent="0.25">
      <c r="B126" s="41" t="s">
        <v>185</v>
      </c>
      <c r="C126" s="33"/>
      <c r="D126" s="33"/>
      <c r="E126" s="33">
        <f>SUM(H125)</f>
        <v>0</v>
      </c>
      <c r="F126" s="33">
        <f>SUM(H125)</f>
        <v>0</v>
      </c>
      <c r="G126" s="51"/>
      <c r="H126" s="47"/>
      <c r="I126" s="37" t="s">
        <v>15</v>
      </c>
      <c r="K126" s="9"/>
      <c r="L126" s="9">
        <f>SUM(C126:F126)*50</f>
        <v>0</v>
      </c>
    </row>
    <row r="127" spans="2:13" ht="15" customHeight="1" x14ac:dyDescent="0.25">
      <c r="B127" s="43" t="s">
        <v>44</v>
      </c>
      <c r="C127" s="40"/>
      <c r="D127" s="40"/>
      <c r="E127" s="40">
        <f>SUM(H125)</f>
        <v>0</v>
      </c>
      <c r="F127" s="40"/>
      <c r="G127" s="51"/>
      <c r="H127" s="47"/>
      <c r="I127" s="37" t="s">
        <v>19</v>
      </c>
      <c r="K127" s="9">
        <f>SUM(C127:F127)*65</f>
        <v>0</v>
      </c>
      <c r="L127" s="9">
        <f>SUM(C127:F127)*50</f>
        <v>0</v>
      </c>
    </row>
    <row r="128" spans="2:13" ht="15" customHeight="1" x14ac:dyDescent="0.25">
      <c r="B128" s="43" t="s">
        <v>45</v>
      </c>
      <c r="C128" s="40">
        <f>SUM(H125)</f>
        <v>0</v>
      </c>
      <c r="D128" s="40"/>
      <c r="E128" s="40"/>
      <c r="F128" s="40"/>
      <c r="G128" s="51"/>
      <c r="H128" s="47"/>
      <c r="I128" s="37" t="s">
        <v>267</v>
      </c>
      <c r="J128" s="9"/>
      <c r="K128" s="9">
        <f>SUM(H125*35)</f>
        <v>0</v>
      </c>
      <c r="L128" s="9">
        <f>SUM(C128:F128)*50</f>
        <v>0</v>
      </c>
    </row>
    <row r="129" spans="2:13" ht="15" customHeight="1" x14ac:dyDescent="0.25">
      <c r="B129" s="43" t="s">
        <v>46</v>
      </c>
      <c r="C129" s="40">
        <f>SUM(H125)</f>
        <v>0</v>
      </c>
      <c r="D129" s="40"/>
      <c r="E129" s="40"/>
      <c r="F129" s="40"/>
      <c r="G129" s="51"/>
      <c r="H129" s="47"/>
      <c r="I129" s="37" t="s">
        <v>267</v>
      </c>
      <c r="J129" s="9"/>
      <c r="K129" s="9">
        <f>SUM(H125*35)</f>
        <v>0</v>
      </c>
      <c r="L129" s="9">
        <f>SUM(C129:F129)*50</f>
        <v>0</v>
      </c>
    </row>
    <row r="130" spans="2:13" ht="15" customHeight="1" x14ac:dyDescent="0.25">
      <c r="B130" s="41" t="s">
        <v>102</v>
      </c>
      <c r="C130" s="33"/>
      <c r="D130" s="33"/>
      <c r="E130" s="33">
        <f>SUM(H125)</f>
        <v>0</v>
      </c>
      <c r="F130" s="33">
        <f>SUM(H125)</f>
        <v>0</v>
      </c>
      <c r="G130" s="51"/>
      <c r="H130" s="47"/>
      <c r="I130" s="37" t="s">
        <v>13</v>
      </c>
      <c r="K130" s="9">
        <f>SUM(C130:F130)*500</f>
        <v>0</v>
      </c>
      <c r="L130" s="9">
        <f>SUM(C130:F130)*50</f>
        <v>0</v>
      </c>
      <c r="M130" s="2" t="s">
        <v>232</v>
      </c>
    </row>
    <row r="131" spans="2:13" ht="15" customHeight="1" x14ac:dyDescent="0.25">
      <c r="B131" s="41" t="s">
        <v>186</v>
      </c>
      <c r="C131" s="33"/>
      <c r="D131" s="33"/>
      <c r="E131" s="33"/>
      <c r="F131" s="33"/>
      <c r="G131" s="51"/>
      <c r="H131" s="47"/>
      <c r="I131" s="37" t="s">
        <v>15</v>
      </c>
      <c r="K131" s="9"/>
      <c r="L131" s="9"/>
    </row>
    <row r="132" spans="2:13" s="4" customFormat="1" ht="15" customHeight="1" x14ac:dyDescent="0.25">
      <c r="B132" s="43"/>
      <c r="C132" s="40"/>
      <c r="D132" s="40"/>
      <c r="E132" s="40"/>
      <c r="F132" s="40"/>
      <c r="G132" s="51"/>
      <c r="H132" s="47"/>
      <c r="I132" s="52"/>
      <c r="J132" s="8"/>
      <c r="K132" s="9"/>
      <c r="L132" s="9"/>
      <c r="M132" s="2"/>
    </row>
    <row r="133" spans="2:13" s="4" customFormat="1" ht="15" customHeight="1" x14ac:dyDescent="0.25">
      <c r="B133" s="38" t="s">
        <v>215</v>
      </c>
      <c r="C133" s="33"/>
      <c r="D133" s="33"/>
      <c r="E133" s="33"/>
      <c r="F133" s="33"/>
      <c r="G133" s="35"/>
      <c r="H133" s="48"/>
      <c r="I133" s="37" t="s">
        <v>15</v>
      </c>
      <c r="J133" s="9">
        <f>SUM(H125*350)</f>
        <v>0</v>
      </c>
      <c r="K133" s="9"/>
      <c r="L133" s="9"/>
    </row>
    <row r="134" spans="2:13" s="4" customFormat="1" ht="15" customHeight="1" x14ac:dyDescent="0.25">
      <c r="B134" s="41" t="s">
        <v>58</v>
      </c>
      <c r="C134" s="33"/>
      <c r="D134" s="33"/>
      <c r="E134" s="33"/>
      <c r="F134" s="33">
        <f>SUM(H125)</f>
        <v>0</v>
      </c>
      <c r="G134" s="35"/>
      <c r="H134" s="48"/>
      <c r="I134" s="37"/>
      <c r="J134" s="9"/>
      <c r="K134" s="9"/>
      <c r="L134" s="9">
        <f>SUM(C134:F134)*50</f>
        <v>0</v>
      </c>
    </row>
    <row r="135" spans="2:13" ht="15" customHeight="1" x14ac:dyDescent="0.25">
      <c r="B135" s="41" t="s">
        <v>193</v>
      </c>
      <c r="C135" s="33"/>
      <c r="D135" s="33"/>
      <c r="E135" s="33">
        <f>SUM(H125)</f>
        <v>0</v>
      </c>
      <c r="F135" s="33"/>
      <c r="G135" s="35"/>
      <c r="H135" s="48"/>
      <c r="I135" s="37" t="s">
        <v>23</v>
      </c>
      <c r="J135" s="9"/>
      <c r="K135" s="9">
        <f>SUM(C135:F135)*30</f>
        <v>0</v>
      </c>
      <c r="L135" s="9">
        <f>SUM(C135:F135)*50</f>
        <v>0</v>
      </c>
      <c r="M135" s="4"/>
    </row>
    <row r="136" spans="2:13" s="3" customFormat="1" ht="15" customHeight="1" x14ac:dyDescent="0.25">
      <c r="B136" s="41" t="s">
        <v>214</v>
      </c>
      <c r="C136" s="33"/>
      <c r="D136" s="33">
        <f>SUM(H125)</f>
        <v>0</v>
      </c>
      <c r="E136" s="33">
        <f>SUM(H125)</f>
        <v>0</v>
      </c>
      <c r="F136" s="33">
        <f>SUM(H125)</f>
        <v>0</v>
      </c>
      <c r="G136" s="51"/>
      <c r="H136" s="47"/>
      <c r="I136" s="37" t="s">
        <v>225</v>
      </c>
      <c r="J136" s="9"/>
      <c r="K136" s="9"/>
      <c r="L136" s="9">
        <f>SUM(C136:F136)*50</f>
        <v>0</v>
      </c>
      <c r="M136" s="2"/>
    </row>
    <row r="137" spans="2:13" s="4" customFormat="1" ht="15" customHeight="1" x14ac:dyDescent="0.25">
      <c r="B137" s="38" t="s">
        <v>216</v>
      </c>
      <c r="C137" s="33"/>
      <c r="D137" s="33"/>
      <c r="E137" s="33"/>
      <c r="F137" s="33"/>
      <c r="G137" s="35"/>
      <c r="H137" s="48"/>
      <c r="I137" s="37" t="s">
        <v>15</v>
      </c>
      <c r="J137" s="9">
        <f>SUM(H125*350)</f>
        <v>0</v>
      </c>
      <c r="K137" s="9"/>
      <c r="L137" s="9"/>
      <c r="M137" s="3"/>
    </row>
    <row r="138" spans="2:13" s="4" customFormat="1" ht="15" customHeight="1" x14ac:dyDescent="0.25">
      <c r="B138" s="41" t="s">
        <v>58</v>
      </c>
      <c r="C138" s="33"/>
      <c r="D138" s="33"/>
      <c r="E138" s="33"/>
      <c r="F138" s="33">
        <f>SUM(H125)</f>
        <v>0</v>
      </c>
      <c r="G138" s="35"/>
      <c r="H138" s="48"/>
      <c r="I138" s="37"/>
      <c r="J138" s="9"/>
      <c r="K138" s="9"/>
      <c r="L138" s="9">
        <f t="shared" ref="L138:L146" si="7">SUM(C138:F138)*50</f>
        <v>0</v>
      </c>
    </row>
    <row r="139" spans="2:13" ht="15" customHeight="1" x14ac:dyDescent="0.25">
      <c r="B139" s="41" t="s">
        <v>193</v>
      </c>
      <c r="C139" s="33"/>
      <c r="D139" s="33"/>
      <c r="E139" s="33">
        <f>SUM(H125)</f>
        <v>0</v>
      </c>
      <c r="F139" s="33"/>
      <c r="G139" s="35"/>
      <c r="H139" s="48"/>
      <c r="I139" s="37" t="s">
        <v>23</v>
      </c>
      <c r="J139" s="9"/>
      <c r="K139" s="9">
        <f>SUM(C139:F139)*30</f>
        <v>0</v>
      </c>
      <c r="L139" s="9">
        <f t="shared" si="7"/>
        <v>0</v>
      </c>
      <c r="M139" s="4"/>
    </row>
    <row r="140" spans="2:13" ht="15" customHeight="1" x14ac:dyDescent="0.25">
      <c r="B140" s="41" t="s">
        <v>214</v>
      </c>
      <c r="C140" s="33"/>
      <c r="D140" s="33">
        <f>SUM(H125)</f>
        <v>0</v>
      </c>
      <c r="E140" s="33">
        <f>SUM(H125)</f>
        <v>0</v>
      </c>
      <c r="F140" s="33">
        <f>SUM(H125)</f>
        <v>0</v>
      </c>
      <c r="G140" s="51"/>
      <c r="H140" s="47"/>
      <c r="I140" s="37" t="s">
        <v>225</v>
      </c>
      <c r="J140" s="9"/>
      <c r="K140" s="9"/>
      <c r="L140" s="9">
        <f t="shared" si="7"/>
        <v>0</v>
      </c>
    </row>
    <row r="141" spans="2:13" ht="15" customHeight="1" x14ac:dyDescent="0.25">
      <c r="B141" s="41" t="s">
        <v>29</v>
      </c>
      <c r="C141" s="33">
        <f>SUM(H125)</f>
        <v>0</v>
      </c>
      <c r="D141" s="33"/>
      <c r="E141" s="33"/>
      <c r="F141" s="33"/>
      <c r="G141" s="33"/>
      <c r="H141" s="48"/>
      <c r="I141" s="37" t="s">
        <v>267</v>
      </c>
      <c r="J141" s="9"/>
      <c r="K141" s="9">
        <f>SUM(H125*35)</f>
        <v>0</v>
      </c>
      <c r="L141" s="9">
        <f t="shared" si="7"/>
        <v>0</v>
      </c>
      <c r="M141" s="4"/>
    </row>
    <row r="142" spans="2:13" ht="15" customHeight="1" x14ac:dyDescent="0.25">
      <c r="B142" s="41" t="s">
        <v>30</v>
      </c>
      <c r="C142" s="33">
        <f>SUM(H125)</f>
        <v>0</v>
      </c>
      <c r="D142" s="33"/>
      <c r="E142" s="33"/>
      <c r="F142" s="33"/>
      <c r="G142" s="33"/>
      <c r="H142" s="48"/>
      <c r="I142" s="37" t="s">
        <v>267</v>
      </c>
      <c r="J142" s="9"/>
      <c r="K142" s="9">
        <f>SUM(H125*35)</f>
        <v>0</v>
      </c>
      <c r="L142" s="9">
        <f t="shared" si="7"/>
        <v>0</v>
      </c>
      <c r="M142" s="4"/>
    </row>
    <row r="143" spans="2:13" ht="15" customHeight="1" x14ac:dyDescent="0.25">
      <c r="B143" s="41" t="s">
        <v>32</v>
      </c>
      <c r="C143" s="40"/>
      <c r="D143" s="40">
        <f>SUM(H125)</f>
        <v>0</v>
      </c>
      <c r="E143" s="40"/>
      <c r="F143" s="40"/>
      <c r="G143" s="33"/>
      <c r="H143" s="48"/>
      <c r="I143" s="50" t="s">
        <v>63</v>
      </c>
      <c r="J143" s="7"/>
      <c r="K143" s="9">
        <f>SUM(C143:F143)*300</f>
        <v>0</v>
      </c>
      <c r="L143" s="9">
        <f t="shared" si="7"/>
        <v>0</v>
      </c>
      <c r="M143" s="3"/>
    </row>
    <row r="144" spans="2:13" ht="15" customHeight="1" x14ac:dyDescent="0.25">
      <c r="B144" s="41" t="s">
        <v>31</v>
      </c>
      <c r="C144" s="33">
        <f>SUM(H125)</f>
        <v>0</v>
      </c>
      <c r="D144" s="33"/>
      <c r="E144" s="33"/>
      <c r="F144" s="33"/>
      <c r="G144" s="45"/>
      <c r="H144" s="47"/>
      <c r="I144" s="44" t="s">
        <v>266</v>
      </c>
      <c r="J144" s="9"/>
      <c r="K144" s="9">
        <f>SUM(H125*75)</f>
        <v>0</v>
      </c>
      <c r="L144" s="9">
        <f t="shared" si="7"/>
        <v>0</v>
      </c>
      <c r="M144" s="4"/>
    </row>
    <row r="145" spans="2:13" ht="15" customHeight="1" x14ac:dyDescent="0.25">
      <c r="B145" s="41" t="s">
        <v>64</v>
      </c>
      <c r="C145" s="40">
        <f>SUM(H125)</f>
        <v>0</v>
      </c>
      <c r="D145" s="40"/>
      <c r="E145" s="40"/>
      <c r="F145" s="40"/>
      <c r="G145" s="45"/>
      <c r="H145" s="47"/>
      <c r="I145" s="37" t="s">
        <v>65</v>
      </c>
      <c r="J145" s="9"/>
      <c r="K145" s="10">
        <f>SUM(C145:F145)*1000</f>
        <v>0</v>
      </c>
      <c r="L145" s="9">
        <f t="shared" si="7"/>
        <v>0</v>
      </c>
      <c r="M145" s="4" t="s">
        <v>226</v>
      </c>
    </row>
    <row r="146" spans="2:13" ht="15" customHeight="1" x14ac:dyDescent="0.25">
      <c r="B146" s="41" t="s">
        <v>66</v>
      </c>
      <c r="C146" s="40"/>
      <c r="D146" s="40"/>
      <c r="E146" s="40">
        <f>SUM(H125)</f>
        <v>0</v>
      </c>
      <c r="F146" s="40"/>
      <c r="G146" s="45"/>
      <c r="H146" s="47"/>
      <c r="I146" s="37" t="s">
        <v>67</v>
      </c>
      <c r="J146" s="9"/>
      <c r="K146" s="9">
        <f>SUM(H125*125)</f>
        <v>0</v>
      </c>
      <c r="L146" s="9">
        <f t="shared" si="7"/>
        <v>0</v>
      </c>
      <c r="M146" s="4"/>
    </row>
    <row r="147" spans="2:13" ht="15" customHeight="1" x14ac:dyDescent="0.25">
      <c r="B147" s="43"/>
      <c r="C147" s="40"/>
      <c r="D147" s="40"/>
      <c r="E147" s="40"/>
      <c r="F147" s="40"/>
      <c r="G147" s="51"/>
      <c r="H147" s="47"/>
      <c r="I147" s="37"/>
      <c r="K147" s="9"/>
      <c r="L147" s="9"/>
    </row>
    <row r="148" spans="2:13" ht="15" customHeight="1" x14ac:dyDescent="0.25">
      <c r="B148" s="38" t="s">
        <v>47</v>
      </c>
      <c r="C148" s="33"/>
      <c r="D148" s="33"/>
      <c r="E148" s="33"/>
      <c r="F148" s="33"/>
      <c r="G148" s="35"/>
      <c r="H148" s="33"/>
      <c r="I148" s="37" t="s">
        <v>15</v>
      </c>
      <c r="J148" s="8">
        <f>SUM(150*H148)</f>
        <v>0</v>
      </c>
      <c r="K148" s="9"/>
      <c r="L148" s="9"/>
    </row>
    <row r="149" spans="2:13" ht="15" customHeight="1" x14ac:dyDescent="0.25">
      <c r="B149" s="41" t="s">
        <v>171</v>
      </c>
      <c r="C149" s="33"/>
      <c r="D149" s="33"/>
      <c r="E149" s="33">
        <f>SUM(H148)</f>
        <v>0</v>
      </c>
      <c r="F149" s="33"/>
      <c r="G149" s="51"/>
      <c r="H149" s="47"/>
      <c r="I149" s="37" t="s">
        <v>15</v>
      </c>
      <c r="K149" s="9"/>
      <c r="L149" s="9">
        <f>SUM(C149:F149)*50</f>
        <v>0</v>
      </c>
    </row>
    <row r="150" spans="2:13" ht="15" customHeight="1" x14ac:dyDescent="0.25">
      <c r="B150" s="41" t="s">
        <v>187</v>
      </c>
      <c r="C150" s="33"/>
      <c r="D150" s="33"/>
      <c r="E150" s="33">
        <f>PRODUCT(H148*2)</f>
        <v>0</v>
      </c>
      <c r="F150" s="33"/>
      <c r="G150" s="51"/>
      <c r="H150" s="47"/>
      <c r="I150" s="37" t="s">
        <v>15</v>
      </c>
      <c r="K150" s="9"/>
      <c r="L150" s="9">
        <f>SUM(C150:F150)*50</f>
        <v>0</v>
      </c>
    </row>
    <row r="151" spans="2:13" ht="15" customHeight="1" x14ac:dyDescent="0.25">
      <c r="B151" s="41"/>
      <c r="C151" s="33"/>
      <c r="D151" s="33"/>
      <c r="E151" s="33"/>
      <c r="F151" s="33"/>
      <c r="G151" s="51"/>
      <c r="H151" s="47"/>
      <c r="I151" s="37"/>
      <c r="K151" s="9"/>
      <c r="L151" s="9"/>
    </row>
    <row r="152" spans="2:13" ht="15" customHeight="1" x14ac:dyDescent="0.25">
      <c r="B152" s="38" t="s">
        <v>103</v>
      </c>
      <c r="C152" s="33"/>
      <c r="D152" s="33"/>
      <c r="E152" s="33"/>
      <c r="F152" s="33"/>
      <c r="G152" s="51"/>
      <c r="H152" s="45"/>
      <c r="I152" s="37"/>
      <c r="K152" s="9"/>
      <c r="L152" s="9"/>
    </row>
    <row r="153" spans="2:13" ht="15" customHeight="1" x14ac:dyDescent="0.25">
      <c r="B153" s="41" t="s">
        <v>9</v>
      </c>
      <c r="C153" s="33">
        <f>SUM(H152)</f>
        <v>0</v>
      </c>
      <c r="D153" s="33"/>
      <c r="E153" s="33"/>
      <c r="F153" s="33"/>
      <c r="G153" s="51"/>
      <c r="H153" s="47"/>
      <c r="I153" s="37" t="s">
        <v>267</v>
      </c>
      <c r="K153" s="9">
        <f>SUM(35*H152)</f>
        <v>0</v>
      </c>
      <c r="L153" s="9">
        <f>SUM(C153:F153)*50</f>
        <v>0</v>
      </c>
    </row>
    <row r="154" spans="2:13" ht="15" customHeight="1" x14ac:dyDescent="0.25">
      <c r="B154" s="41"/>
      <c r="C154" s="33"/>
      <c r="D154" s="33"/>
      <c r="E154" s="33"/>
      <c r="F154" s="33"/>
      <c r="G154" s="51"/>
      <c r="H154" s="47"/>
      <c r="I154" s="37"/>
      <c r="K154" s="9"/>
      <c r="L154" s="9"/>
    </row>
    <row r="155" spans="2:13" ht="15" customHeight="1" x14ac:dyDescent="0.25">
      <c r="B155" s="38" t="s">
        <v>278</v>
      </c>
      <c r="C155" s="40"/>
      <c r="D155" s="40"/>
      <c r="E155" s="40"/>
      <c r="F155" s="40"/>
      <c r="G155" s="51"/>
      <c r="H155" s="45"/>
      <c r="I155" s="52"/>
      <c r="K155" s="9"/>
      <c r="L155" s="9"/>
    </row>
    <row r="156" spans="2:13" ht="15" customHeight="1" x14ac:dyDescent="0.25">
      <c r="B156" s="43" t="s">
        <v>104</v>
      </c>
      <c r="C156" s="40">
        <f>SUM(H155)</f>
        <v>0</v>
      </c>
      <c r="D156" s="40"/>
      <c r="E156" s="40"/>
      <c r="F156" s="40"/>
      <c r="G156" s="51"/>
      <c r="H156" s="47"/>
      <c r="I156" s="37" t="s">
        <v>105</v>
      </c>
      <c r="K156" s="9">
        <f>SUM(C156:F156)*150</f>
        <v>0</v>
      </c>
      <c r="L156" s="9">
        <f t="shared" ref="L156:L178" si="8">SUM(C156:F156)*50</f>
        <v>0</v>
      </c>
    </row>
    <row r="157" spans="2:13" ht="15" customHeight="1" x14ac:dyDescent="0.25">
      <c r="B157" s="43" t="s">
        <v>48</v>
      </c>
      <c r="C157" s="40"/>
      <c r="D157" s="40"/>
      <c r="E157" s="40">
        <f>SUM(H155)</f>
        <v>0</v>
      </c>
      <c r="F157" s="40"/>
      <c r="G157" s="51"/>
      <c r="H157" s="47"/>
      <c r="I157" s="37" t="s">
        <v>21</v>
      </c>
      <c r="J157" s="8">
        <f>SUM(E157)*50</f>
        <v>0</v>
      </c>
      <c r="K157" s="9">
        <f>SUM(C157:F157)*135</f>
        <v>0</v>
      </c>
      <c r="L157" s="9">
        <f t="shared" si="8"/>
        <v>0</v>
      </c>
    </row>
    <row r="158" spans="2:13" ht="15" customHeight="1" x14ac:dyDescent="0.25">
      <c r="B158" s="43" t="s">
        <v>106</v>
      </c>
      <c r="C158" s="40"/>
      <c r="D158" s="40"/>
      <c r="E158" s="40">
        <f>SUM(H155)</f>
        <v>0</v>
      </c>
      <c r="F158" s="40"/>
      <c r="G158" s="51"/>
      <c r="H158" s="47"/>
      <c r="I158" s="37" t="s">
        <v>21</v>
      </c>
      <c r="J158" s="8">
        <f>SUM(E158)*50</f>
        <v>0</v>
      </c>
      <c r="K158" s="9">
        <f t="shared" ref="K158" si="9">SUM(C158:F158)*135</f>
        <v>0</v>
      </c>
      <c r="L158" s="9">
        <f t="shared" si="8"/>
        <v>0</v>
      </c>
    </row>
    <row r="159" spans="2:13" ht="15" customHeight="1" x14ac:dyDescent="0.25">
      <c r="B159" s="43" t="s">
        <v>107</v>
      </c>
      <c r="C159" s="40"/>
      <c r="D159" s="40">
        <f>SUM(H155)</f>
        <v>0</v>
      </c>
      <c r="E159" s="40"/>
      <c r="F159" s="40"/>
      <c r="G159" s="51"/>
      <c r="H159" s="47"/>
      <c r="I159" s="37" t="s">
        <v>108</v>
      </c>
      <c r="K159" s="9">
        <f>SUM(C159:F159)*145</f>
        <v>0</v>
      </c>
      <c r="L159" s="9">
        <f t="shared" si="8"/>
        <v>0</v>
      </c>
    </row>
    <row r="160" spans="2:13" ht="15" customHeight="1" x14ac:dyDescent="0.25">
      <c r="B160" s="43" t="s">
        <v>109</v>
      </c>
      <c r="C160" s="40"/>
      <c r="D160" s="40">
        <f>SUM(H155)</f>
        <v>0</v>
      </c>
      <c r="E160" s="40"/>
      <c r="F160" s="40"/>
      <c r="G160" s="51"/>
      <c r="H160" s="47"/>
      <c r="I160" s="37" t="s">
        <v>108</v>
      </c>
      <c r="K160" s="9">
        <f t="shared" ref="K160:K161" si="10">SUM(C160:F160)*145</f>
        <v>0</v>
      </c>
      <c r="L160" s="9">
        <f t="shared" si="8"/>
        <v>0</v>
      </c>
    </row>
    <row r="161" spans="2:12" ht="15" customHeight="1" x14ac:dyDescent="0.25">
      <c r="B161" s="43" t="s">
        <v>110</v>
      </c>
      <c r="C161" s="40"/>
      <c r="D161" s="40">
        <f>SUM(H155)</f>
        <v>0</v>
      </c>
      <c r="E161" s="40"/>
      <c r="F161" s="40"/>
      <c r="G161" s="51"/>
      <c r="H161" s="47"/>
      <c r="I161" s="37" t="s">
        <v>108</v>
      </c>
      <c r="K161" s="9">
        <f t="shared" si="10"/>
        <v>0</v>
      </c>
      <c r="L161" s="9">
        <f t="shared" si="8"/>
        <v>0</v>
      </c>
    </row>
    <row r="162" spans="2:12" ht="15" customHeight="1" x14ac:dyDescent="0.25">
      <c r="B162" s="43" t="s">
        <v>49</v>
      </c>
      <c r="C162" s="40"/>
      <c r="D162" s="40"/>
      <c r="E162" s="40">
        <f>SUM(H155)</f>
        <v>0</v>
      </c>
      <c r="F162" s="40"/>
      <c r="G162" s="51"/>
      <c r="H162" s="47"/>
      <c r="I162" s="37" t="s">
        <v>282</v>
      </c>
      <c r="J162" s="8">
        <f>SUM(E162)*50</f>
        <v>0</v>
      </c>
      <c r="K162" s="9">
        <f>SUM(35*H155)</f>
        <v>0</v>
      </c>
      <c r="L162" s="9">
        <f t="shared" si="8"/>
        <v>0</v>
      </c>
    </row>
    <row r="163" spans="2:12" ht="15" customHeight="1" x14ac:dyDescent="0.25">
      <c r="B163" s="43" t="s">
        <v>50</v>
      </c>
      <c r="C163" s="40"/>
      <c r="D163" s="40"/>
      <c r="E163" s="40">
        <f>SUM(H155)</f>
        <v>0</v>
      </c>
      <c r="F163" s="40"/>
      <c r="G163" s="51"/>
      <c r="H163" s="47"/>
      <c r="I163" s="37" t="s">
        <v>282</v>
      </c>
      <c r="J163" s="8">
        <f>SUM(E163)*50</f>
        <v>0</v>
      </c>
      <c r="K163" s="9">
        <f>SUM(35*H155)</f>
        <v>0</v>
      </c>
      <c r="L163" s="9">
        <f t="shared" si="8"/>
        <v>0</v>
      </c>
    </row>
    <row r="164" spans="2:12" ht="15" customHeight="1" x14ac:dyDescent="0.25">
      <c r="B164" s="43" t="s">
        <v>111</v>
      </c>
      <c r="C164" s="40">
        <f>SUM(H155)</f>
        <v>0</v>
      </c>
      <c r="D164" s="40"/>
      <c r="E164" s="40"/>
      <c r="F164" s="40"/>
      <c r="G164" s="51"/>
      <c r="H164" s="47"/>
      <c r="I164" s="37" t="s">
        <v>14</v>
      </c>
      <c r="J164" s="8">
        <f>SUM(C164)*50</f>
        <v>0</v>
      </c>
      <c r="K164" s="9">
        <f>SUM(C164:F164)*165</f>
        <v>0</v>
      </c>
      <c r="L164" s="9">
        <f t="shared" si="8"/>
        <v>0</v>
      </c>
    </row>
    <row r="165" spans="2:12" ht="15" customHeight="1" x14ac:dyDescent="0.25">
      <c r="B165" s="43" t="s">
        <v>112</v>
      </c>
      <c r="C165" s="40">
        <f>SUM(H155)</f>
        <v>0</v>
      </c>
      <c r="D165" s="40"/>
      <c r="E165" s="40"/>
      <c r="F165" s="40"/>
      <c r="G165" s="51"/>
      <c r="H165" s="47"/>
      <c r="I165" s="37" t="s">
        <v>14</v>
      </c>
      <c r="J165" s="8">
        <f>SUM(C165)*50</f>
        <v>0</v>
      </c>
      <c r="K165" s="9">
        <f>SUM(C165:F165)*165</f>
        <v>0</v>
      </c>
      <c r="L165" s="9">
        <f t="shared" si="8"/>
        <v>0</v>
      </c>
    </row>
    <row r="166" spans="2:12" ht="15" customHeight="1" x14ac:dyDescent="0.25">
      <c r="B166" s="43" t="s">
        <v>51</v>
      </c>
      <c r="C166" s="40"/>
      <c r="D166" s="40"/>
      <c r="E166" s="40">
        <f>SUM(H155)</f>
        <v>0</v>
      </c>
      <c r="F166" s="40"/>
      <c r="G166" s="51"/>
      <c r="H166" s="47"/>
      <c r="I166" s="37" t="s">
        <v>22</v>
      </c>
      <c r="J166" s="8">
        <f>SUM(E166)*50</f>
        <v>0</v>
      </c>
      <c r="K166" s="9">
        <f>SUM(C166:F166)*65</f>
        <v>0</v>
      </c>
      <c r="L166" s="9">
        <f t="shared" si="8"/>
        <v>0</v>
      </c>
    </row>
    <row r="167" spans="2:12" ht="15" customHeight="1" x14ac:dyDescent="0.25">
      <c r="B167" s="43" t="s">
        <v>113</v>
      </c>
      <c r="C167" s="40"/>
      <c r="D167" s="40">
        <f>SUM(H155)</f>
        <v>0</v>
      </c>
      <c r="E167" s="40"/>
      <c r="F167" s="40"/>
      <c r="G167" s="51"/>
      <c r="H167" s="47"/>
      <c r="I167" s="37" t="s">
        <v>63</v>
      </c>
      <c r="K167" s="9">
        <f>SUM(C167:F167)*350</f>
        <v>0</v>
      </c>
      <c r="L167" s="9">
        <f t="shared" si="8"/>
        <v>0</v>
      </c>
    </row>
    <row r="168" spans="2:12" ht="15" customHeight="1" x14ac:dyDescent="0.25">
      <c r="B168" s="43" t="s">
        <v>114</v>
      </c>
      <c r="C168" s="40">
        <f>SUM(H155)</f>
        <v>0</v>
      </c>
      <c r="D168" s="40"/>
      <c r="E168" s="40"/>
      <c r="F168" s="40"/>
      <c r="G168" s="51"/>
      <c r="H168" s="47"/>
      <c r="I168" s="37" t="s">
        <v>268</v>
      </c>
      <c r="K168" s="9">
        <f>SUM(10*H155)</f>
        <v>0</v>
      </c>
      <c r="L168" s="9">
        <f t="shared" si="8"/>
        <v>0</v>
      </c>
    </row>
    <row r="169" spans="2:12" ht="15" customHeight="1" x14ac:dyDescent="0.25">
      <c r="B169" s="43" t="s">
        <v>206</v>
      </c>
      <c r="C169" s="40">
        <f>SUM(H155)</f>
        <v>0</v>
      </c>
      <c r="D169" s="40"/>
      <c r="E169" s="40"/>
      <c r="F169" s="40"/>
      <c r="G169" s="51"/>
      <c r="H169" s="47"/>
      <c r="I169" s="37" t="s">
        <v>267</v>
      </c>
      <c r="J169" s="9"/>
      <c r="K169" s="9">
        <f>SUM(35*H155)</f>
        <v>0</v>
      </c>
      <c r="L169" s="9">
        <f t="shared" si="8"/>
        <v>0</v>
      </c>
    </row>
    <row r="170" spans="2:12" ht="15" customHeight="1" x14ac:dyDescent="0.25">
      <c r="B170" s="43" t="s">
        <v>207</v>
      </c>
      <c r="C170" s="40">
        <f>SUM(H155)</f>
        <v>0</v>
      </c>
      <c r="D170" s="40"/>
      <c r="E170" s="40"/>
      <c r="F170" s="40"/>
      <c r="G170" s="51"/>
      <c r="H170" s="47"/>
      <c r="I170" s="37" t="s">
        <v>267</v>
      </c>
      <c r="J170" s="9"/>
      <c r="K170" s="9">
        <f>SUM(35*H155)</f>
        <v>0</v>
      </c>
      <c r="L170" s="9">
        <f t="shared" si="8"/>
        <v>0</v>
      </c>
    </row>
    <row r="171" spans="2:12" ht="15" customHeight="1" x14ac:dyDescent="0.25">
      <c r="B171" s="43" t="s">
        <v>52</v>
      </c>
      <c r="C171" s="40"/>
      <c r="D171" s="40">
        <f>SUM(H155)</f>
        <v>0</v>
      </c>
      <c r="E171" s="40"/>
      <c r="F171" s="40"/>
      <c r="G171" s="51"/>
      <c r="H171" s="47"/>
      <c r="I171" s="37" t="s">
        <v>63</v>
      </c>
      <c r="K171" s="9">
        <f>SUM(C171:F171)*350</f>
        <v>0</v>
      </c>
      <c r="L171" s="9">
        <f t="shared" si="8"/>
        <v>0</v>
      </c>
    </row>
    <row r="172" spans="2:12" ht="15" customHeight="1" x14ac:dyDescent="0.25">
      <c r="B172" s="43" t="s">
        <v>53</v>
      </c>
      <c r="C172" s="40">
        <f>SUM(H155)</f>
        <v>0</v>
      </c>
      <c r="D172" s="40"/>
      <c r="E172" s="40"/>
      <c r="F172" s="40"/>
      <c r="G172" s="51"/>
      <c r="H172" s="47"/>
      <c r="I172" s="37" t="s">
        <v>268</v>
      </c>
      <c r="K172" s="9">
        <f>SUM(35*H155)</f>
        <v>0</v>
      </c>
      <c r="L172" s="9">
        <f t="shared" si="8"/>
        <v>0</v>
      </c>
    </row>
    <row r="173" spans="2:12" ht="15" customHeight="1" x14ac:dyDescent="0.25">
      <c r="B173" s="43" t="s">
        <v>208</v>
      </c>
      <c r="C173" s="40">
        <f>SUM(H155)</f>
        <v>0</v>
      </c>
      <c r="D173" s="40"/>
      <c r="E173" s="40"/>
      <c r="F173" s="40"/>
      <c r="G173" s="51"/>
      <c r="H173" s="47"/>
      <c r="I173" s="37" t="s">
        <v>267</v>
      </c>
      <c r="J173" s="9"/>
      <c r="K173" s="9">
        <f>SUM(35*H155)</f>
        <v>0</v>
      </c>
      <c r="L173" s="9">
        <f t="shared" si="8"/>
        <v>0</v>
      </c>
    </row>
    <row r="174" spans="2:12" ht="15" customHeight="1" x14ac:dyDescent="0.25">
      <c r="B174" s="43" t="s">
        <v>209</v>
      </c>
      <c r="C174" s="40">
        <f>SUM(H155)</f>
        <v>0</v>
      </c>
      <c r="D174" s="40"/>
      <c r="E174" s="40"/>
      <c r="F174" s="40"/>
      <c r="G174" s="51"/>
      <c r="H174" s="47"/>
      <c r="I174" s="37" t="s">
        <v>267</v>
      </c>
      <c r="J174" s="9"/>
      <c r="K174" s="9">
        <f>SUM(35*H155)</f>
        <v>0</v>
      </c>
      <c r="L174" s="9">
        <f t="shared" si="8"/>
        <v>0</v>
      </c>
    </row>
    <row r="175" spans="2:12" ht="15" customHeight="1" x14ac:dyDescent="0.25">
      <c r="B175" s="43" t="s">
        <v>54</v>
      </c>
      <c r="C175" s="40"/>
      <c r="D175" s="40">
        <f>SUM(H155)</f>
        <v>0</v>
      </c>
      <c r="E175" s="40"/>
      <c r="F175" s="40"/>
      <c r="G175" s="51"/>
      <c r="H175" s="47"/>
      <c r="I175" s="37" t="s">
        <v>63</v>
      </c>
      <c r="K175" s="9">
        <f>SUM(C175:F175)*350</f>
        <v>0</v>
      </c>
      <c r="L175" s="9">
        <f t="shared" si="8"/>
        <v>0</v>
      </c>
    </row>
    <row r="176" spans="2:12" ht="15" customHeight="1" x14ac:dyDescent="0.25">
      <c r="B176" s="43" t="s">
        <v>55</v>
      </c>
      <c r="C176" s="40">
        <f>SUM(H155)</f>
        <v>0</v>
      </c>
      <c r="D176" s="40"/>
      <c r="E176" s="40"/>
      <c r="F176" s="40"/>
      <c r="G176" s="51"/>
      <c r="H176" s="47"/>
      <c r="I176" s="37" t="s">
        <v>268</v>
      </c>
      <c r="K176" s="9">
        <f>SUM(35*H155)</f>
        <v>0</v>
      </c>
      <c r="L176" s="9">
        <f t="shared" si="8"/>
        <v>0</v>
      </c>
    </row>
    <row r="177" spans="2:12" ht="15" customHeight="1" x14ac:dyDescent="0.25">
      <c r="B177" s="43" t="s">
        <v>210</v>
      </c>
      <c r="C177" s="40">
        <f>SUM(H155)</f>
        <v>0</v>
      </c>
      <c r="D177" s="40"/>
      <c r="E177" s="40"/>
      <c r="F177" s="40"/>
      <c r="G177" s="51"/>
      <c r="H177" s="47"/>
      <c r="I177" s="37" t="s">
        <v>267</v>
      </c>
      <c r="J177" s="9"/>
      <c r="K177" s="9">
        <f>SUM(35*H155)</f>
        <v>0</v>
      </c>
      <c r="L177" s="9">
        <f t="shared" si="8"/>
        <v>0</v>
      </c>
    </row>
    <row r="178" spans="2:12" ht="15" customHeight="1" x14ac:dyDescent="0.25">
      <c r="B178" s="43" t="s">
        <v>211</v>
      </c>
      <c r="C178" s="40">
        <f>SUM(H155)</f>
        <v>0</v>
      </c>
      <c r="D178" s="40"/>
      <c r="E178" s="40"/>
      <c r="F178" s="40"/>
      <c r="G178" s="51"/>
      <c r="H178" s="47"/>
      <c r="I178" s="37" t="s">
        <v>267</v>
      </c>
      <c r="J178" s="9"/>
      <c r="K178" s="9">
        <f>SUM(35*H155)</f>
        <v>0</v>
      </c>
      <c r="L178" s="9">
        <f t="shared" si="8"/>
        <v>0</v>
      </c>
    </row>
    <row r="179" spans="2:12" ht="15" customHeight="1" x14ac:dyDescent="0.25">
      <c r="B179" s="55" t="s">
        <v>196</v>
      </c>
      <c r="C179" s="40"/>
      <c r="D179" s="40"/>
      <c r="E179" s="40"/>
      <c r="F179" s="40"/>
      <c r="G179" s="35"/>
      <c r="H179" s="48"/>
      <c r="I179" s="52"/>
      <c r="J179" s="8">
        <f>SUM(150*H155)</f>
        <v>0</v>
      </c>
      <c r="K179" s="9"/>
      <c r="L179" s="9"/>
    </row>
    <row r="180" spans="2:12" ht="15" customHeight="1" x14ac:dyDescent="0.25">
      <c r="B180" s="43" t="s">
        <v>180</v>
      </c>
      <c r="C180" s="40"/>
      <c r="D180" s="40">
        <f>SUM(H155)</f>
        <v>0</v>
      </c>
      <c r="E180" s="40">
        <f>SUM(H155)</f>
        <v>0</v>
      </c>
      <c r="F180" s="40">
        <f>SUM(H155)</f>
        <v>0</v>
      </c>
      <c r="G180" s="51"/>
      <c r="H180" s="47"/>
      <c r="I180" s="37" t="s">
        <v>15</v>
      </c>
      <c r="J180" s="8">
        <f>SUM(E180)*50</f>
        <v>0</v>
      </c>
      <c r="K180" s="9"/>
      <c r="L180" s="9">
        <f t="shared" ref="L180:L185" si="11">SUM(C180:F180)*50</f>
        <v>0</v>
      </c>
    </row>
    <row r="181" spans="2:12" ht="15" customHeight="1" x14ac:dyDescent="0.25">
      <c r="B181" s="43" t="s">
        <v>174</v>
      </c>
      <c r="C181" s="40"/>
      <c r="D181" s="40"/>
      <c r="E181" s="40">
        <f>SUM(H155)</f>
        <v>0</v>
      </c>
      <c r="F181" s="40"/>
      <c r="G181" s="51"/>
      <c r="H181" s="47"/>
      <c r="I181" s="37" t="s">
        <v>6</v>
      </c>
      <c r="J181" s="8">
        <f>SUM(E181)*50</f>
        <v>0</v>
      </c>
      <c r="K181" s="9">
        <f>SUM(65*H155)</f>
        <v>0</v>
      </c>
      <c r="L181" s="9">
        <f t="shared" si="11"/>
        <v>0</v>
      </c>
    </row>
    <row r="182" spans="2:12" ht="15" customHeight="1" x14ac:dyDescent="0.25">
      <c r="B182" s="55" t="s">
        <v>197</v>
      </c>
      <c r="C182" s="33"/>
      <c r="D182" s="33"/>
      <c r="E182" s="33"/>
      <c r="F182" s="33"/>
      <c r="G182" s="53"/>
      <c r="H182" s="47"/>
      <c r="I182" s="37" t="s">
        <v>231</v>
      </c>
      <c r="K182" s="9">
        <f>SUM(C182:F182)*35</f>
        <v>0</v>
      </c>
      <c r="L182" s="9">
        <f t="shared" si="11"/>
        <v>0</v>
      </c>
    </row>
    <row r="183" spans="2:12" ht="15" customHeight="1" x14ac:dyDescent="0.25">
      <c r="B183" s="43" t="s">
        <v>115</v>
      </c>
      <c r="C183" s="40"/>
      <c r="D183" s="40"/>
      <c r="E183" s="40">
        <f>SUM(H155)</f>
        <v>0</v>
      </c>
      <c r="F183" s="40"/>
      <c r="G183" s="51"/>
      <c r="H183" s="47"/>
      <c r="I183" s="37" t="s">
        <v>15</v>
      </c>
      <c r="J183" s="8">
        <f>SUM(50*H155)</f>
        <v>0</v>
      </c>
      <c r="K183" s="9">
        <f>SUM(C183:F183)*35</f>
        <v>0</v>
      </c>
      <c r="L183" s="9">
        <f t="shared" si="11"/>
        <v>0</v>
      </c>
    </row>
    <row r="184" spans="2:12" ht="15" customHeight="1" x14ac:dyDescent="0.25">
      <c r="B184" s="43" t="s">
        <v>188</v>
      </c>
      <c r="C184" s="40"/>
      <c r="D184" s="40"/>
      <c r="E184" s="40"/>
      <c r="F184" s="40">
        <f>SUM(H155)</f>
        <v>0</v>
      </c>
      <c r="G184" s="51"/>
      <c r="H184" s="47"/>
      <c r="I184" s="37" t="s">
        <v>15</v>
      </c>
      <c r="K184" s="9">
        <f>SUM(C184:F184)*35</f>
        <v>0</v>
      </c>
      <c r="L184" s="9">
        <f t="shared" si="11"/>
        <v>0</v>
      </c>
    </row>
    <row r="185" spans="2:12" ht="15" customHeight="1" x14ac:dyDescent="0.25">
      <c r="B185" s="43" t="s">
        <v>189</v>
      </c>
      <c r="C185" s="40"/>
      <c r="D185" s="40"/>
      <c r="E185" s="40"/>
      <c r="F185" s="40">
        <f>SUM(H155)</f>
        <v>0</v>
      </c>
      <c r="G185" s="51"/>
      <c r="H185" s="47"/>
      <c r="I185" s="37" t="s">
        <v>15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38" t="s">
        <v>198</v>
      </c>
      <c r="C186" s="33"/>
      <c r="D186" s="33"/>
      <c r="E186" s="33"/>
      <c r="F186" s="33"/>
      <c r="G186" s="35"/>
      <c r="H186" s="48"/>
      <c r="I186" s="37"/>
      <c r="J186" s="8">
        <f>SUM(350*H155)</f>
        <v>0</v>
      </c>
      <c r="K186" s="9"/>
      <c r="L186" s="9"/>
    </row>
    <row r="187" spans="2:12" ht="15" customHeight="1" x14ac:dyDescent="0.25">
      <c r="B187" s="43" t="s">
        <v>179</v>
      </c>
      <c r="C187" s="40"/>
      <c r="D187" s="40"/>
      <c r="E187" s="40">
        <f>SUM(H155)</f>
        <v>0</v>
      </c>
      <c r="F187" s="40">
        <f>SUM(H155)</f>
        <v>0</v>
      </c>
      <c r="G187" s="51"/>
      <c r="H187" s="47"/>
      <c r="I187" s="37" t="s">
        <v>23</v>
      </c>
      <c r="K187" s="9">
        <f>SUM(C187:F187)*30</f>
        <v>0</v>
      </c>
      <c r="L187" s="9">
        <f>SUM(C187:F187)*50</f>
        <v>0</v>
      </c>
    </row>
    <row r="188" spans="2:12" ht="15" customHeight="1" x14ac:dyDescent="0.25">
      <c r="B188" s="43" t="s">
        <v>116</v>
      </c>
      <c r="C188" s="40"/>
      <c r="D188" s="40">
        <f>SUM(H155)</f>
        <v>0</v>
      </c>
      <c r="E188" s="40"/>
      <c r="F188" s="40"/>
      <c r="G188" s="51"/>
      <c r="H188" s="47"/>
      <c r="I188" s="37" t="s">
        <v>63</v>
      </c>
      <c r="K188" s="9">
        <f>SUM(C188:F188)*350</f>
        <v>0</v>
      </c>
      <c r="L188" s="9">
        <f>SUM(C188:F188)*50</f>
        <v>0</v>
      </c>
    </row>
    <row r="189" spans="2:12" ht="15" customHeight="1" x14ac:dyDescent="0.25">
      <c r="B189" s="43" t="s">
        <v>212</v>
      </c>
      <c r="C189" s="40">
        <f>SUM(H155)</f>
        <v>0</v>
      </c>
      <c r="D189" s="40"/>
      <c r="E189" s="40"/>
      <c r="F189" s="40"/>
      <c r="G189" s="51"/>
      <c r="H189" s="47"/>
      <c r="I189" s="37" t="s">
        <v>267</v>
      </c>
      <c r="J189" s="9"/>
      <c r="K189" s="9">
        <f>SUM(35*H155)</f>
        <v>0</v>
      </c>
      <c r="L189" s="9">
        <f>SUM(C189:F189)*50</f>
        <v>0</v>
      </c>
    </row>
    <row r="190" spans="2:12" ht="15" customHeight="1" x14ac:dyDescent="0.25">
      <c r="B190" s="43" t="s">
        <v>213</v>
      </c>
      <c r="C190" s="40">
        <f>SUM(H155)</f>
        <v>0</v>
      </c>
      <c r="D190" s="40"/>
      <c r="E190" s="40"/>
      <c r="F190" s="40"/>
      <c r="G190" s="51"/>
      <c r="H190" s="47"/>
      <c r="I190" s="37" t="s">
        <v>267</v>
      </c>
      <c r="J190" s="9"/>
      <c r="K190" s="9">
        <f>SUM(35*H155)</f>
        <v>0</v>
      </c>
      <c r="L190" s="9">
        <f>SUM(C190:F190)*50</f>
        <v>0</v>
      </c>
    </row>
    <row r="191" spans="2:12" ht="15" customHeight="1" x14ac:dyDescent="0.25">
      <c r="B191" s="43" t="s">
        <v>117</v>
      </c>
      <c r="C191" s="40">
        <f>SUM(H155)</f>
        <v>0</v>
      </c>
      <c r="D191" s="40"/>
      <c r="E191" s="40"/>
      <c r="F191" s="40"/>
      <c r="G191" s="51"/>
      <c r="H191" s="47"/>
      <c r="I191" s="37" t="s">
        <v>268</v>
      </c>
      <c r="K191" s="9">
        <f>SUM(C191:F191)*35</f>
        <v>0</v>
      </c>
      <c r="L191" s="9">
        <f>SUM(C191:F191)*50</f>
        <v>0</v>
      </c>
    </row>
    <row r="192" spans="2:12" ht="15" customHeight="1" x14ac:dyDescent="0.25">
      <c r="B192" s="55" t="s">
        <v>199</v>
      </c>
      <c r="C192" s="40"/>
      <c r="D192" s="40"/>
      <c r="E192" s="40"/>
      <c r="F192" s="40"/>
      <c r="G192" s="35"/>
      <c r="H192" s="48"/>
      <c r="I192" s="37"/>
      <c r="J192" s="8">
        <f>SUM(50*H155)</f>
        <v>0</v>
      </c>
      <c r="K192" s="9"/>
      <c r="L192" s="9"/>
    </row>
    <row r="193" spans="2:12" ht="15" customHeight="1" x14ac:dyDescent="0.25">
      <c r="B193" s="43" t="s">
        <v>180</v>
      </c>
      <c r="C193" s="40"/>
      <c r="D193" s="40">
        <f>SUM(H155)</f>
        <v>0</v>
      </c>
      <c r="E193" s="40">
        <f>SUM(H155)</f>
        <v>0</v>
      </c>
      <c r="F193" s="40">
        <f>SUM(H155)</f>
        <v>0</v>
      </c>
      <c r="G193" s="51"/>
      <c r="H193" s="47"/>
      <c r="I193" s="37" t="s">
        <v>15</v>
      </c>
      <c r="J193" s="8">
        <f>SUM(50*H155)</f>
        <v>0</v>
      </c>
      <c r="K193" s="9"/>
      <c r="L193" s="9">
        <f>SUM(C193:F193)*50</f>
        <v>0</v>
      </c>
    </row>
    <row r="194" spans="2:12" ht="15" customHeight="1" x14ac:dyDescent="0.25">
      <c r="B194" s="43" t="s">
        <v>118</v>
      </c>
      <c r="C194" s="40">
        <f>SUM(H155)</f>
        <v>0</v>
      </c>
      <c r="D194" s="40"/>
      <c r="E194" s="40"/>
      <c r="F194" s="40"/>
      <c r="G194" s="51"/>
      <c r="H194" s="47"/>
      <c r="I194" s="37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43" t="s">
        <v>119</v>
      </c>
      <c r="C195" s="40"/>
      <c r="D195" s="40"/>
      <c r="E195" s="40">
        <f>SUM(H155)</f>
        <v>0</v>
      </c>
      <c r="F195" s="40"/>
      <c r="G195" s="51"/>
      <c r="H195" s="47"/>
      <c r="I195" s="37" t="s">
        <v>282</v>
      </c>
      <c r="K195" s="9">
        <f>SUM(C195:F195)*35</f>
        <v>0</v>
      </c>
      <c r="L195" s="9">
        <f>SUM(C195:F195)*50</f>
        <v>0</v>
      </c>
    </row>
    <row r="196" spans="2:12" ht="15" customHeight="1" x14ac:dyDescent="0.25">
      <c r="B196" s="55" t="s">
        <v>200</v>
      </c>
      <c r="C196" s="40"/>
      <c r="D196" s="40"/>
      <c r="E196" s="40"/>
      <c r="F196" s="40"/>
      <c r="G196" s="35"/>
      <c r="H196" s="48"/>
      <c r="I196" s="52"/>
      <c r="J196" s="8">
        <f>SUM(50*H155)</f>
        <v>0</v>
      </c>
      <c r="K196" s="9"/>
      <c r="L196" s="9"/>
    </row>
    <row r="197" spans="2:12" ht="15" customHeight="1" x14ac:dyDescent="0.25">
      <c r="B197" s="43" t="s">
        <v>180</v>
      </c>
      <c r="C197" s="40"/>
      <c r="D197" s="40">
        <f>SUM(H155)</f>
        <v>0</v>
      </c>
      <c r="E197" s="40">
        <f>SUM(H155)</f>
        <v>0</v>
      </c>
      <c r="F197" s="40">
        <f>SUM(H155)</f>
        <v>0</v>
      </c>
      <c r="G197" s="51"/>
      <c r="H197" s="47"/>
      <c r="I197" s="37" t="s">
        <v>15</v>
      </c>
      <c r="J197" s="8">
        <f>SUM(F197)*50</f>
        <v>0</v>
      </c>
      <c r="K197" s="9"/>
      <c r="L197" s="9">
        <f t="shared" ref="L197:L202" si="12">SUM(C197:F197)*50</f>
        <v>0</v>
      </c>
    </row>
    <row r="198" spans="2:12" ht="15" customHeight="1" x14ac:dyDescent="0.25">
      <c r="B198" s="43" t="s">
        <v>174</v>
      </c>
      <c r="C198" s="40"/>
      <c r="D198" s="40"/>
      <c r="E198" s="40">
        <f>SUM(H155)</f>
        <v>0</v>
      </c>
      <c r="F198" s="40"/>
      <c r="G198" s="51"/>
      <c r="H198" s="47"/>
      <c r="I198" s="37" t="s">
        <v>6</v>
      </c>
      <c r="J198" s="8">
        <f>SUM(F198)*50</f>
        <v>0</v>
      </c>
      <c r="K198" s="9">
        <f>SUM(C198:F198)*35</f>
        <v>0</v>
      </c>
      <c r="L198" s="9">
        <f t="shared" si="12"/>
        <v>0</v>
      </c>
    </row>
    <row r="199" spans="2:12" ht="15" customHeight="1" x14ac:dyDescent="0.25">
      <c r="B199" s="43" t="s">
        <v>120</v>
      </c>
      <c r="C199" s="40"/>
      <c r="D199" s="40">
        <f>SUM(H155)</f>
        <v>0</v>
      </c>
      <c r="E199" s="40"/>
      <c r="F199" s="40"/>
      <c r="G199" s="51"/>
      <c r="H199" s="47"/>
      <c r="I199" s="37" t="s">
        <v>121</v>
      </c>
      <c r="J199" s="8">
        <f>SUM(D199)*150</f>
        <v>0</v>
      </c>
      <c r="K199" s="9">
        <f>SUM(C199:F199)*450</f>
        <v>0</v>
      </c>
      <c r="L199" s="9">
        <f t="shared" si="12"/>
        <v>0</v>
      </c>
    </row>
    <row r="200" spans="2:12" ht="15" customHeight="1" x14ac:dyDescent="0.25">
      <c r="B200" s="43" t="s">
        <v>122</v>
      </c>
      <c r="C200" s="40">
        <f>SUM(H155)</f>
        <v>0</v>
      </c>
      <c r="D200" s="40"/>
      <c r="E200" s="40"/>
      <c r="F200" s="40"/>
      <c r="G200" s="51"/>
      <c r="H200" s="47"/>
      <c r="I200" s="37" t="s">
        <v>268</v>
      </c>
      <c r="K200" s="9">
        <f>SUM(C200:F200)*35</f>
        <v>0</v>
      </c>
      <c r="L200" s="9">
        <f t="shared" si="12"/>
        <v>0</v>
      </c>
    </row>
    <row r="201" spans="2:12" ht="15" customHeight="1" x14ac:dyDescent="0.25">
      <c r="B201" s="43" t="s">
        <v>123</v>
      </c>
      <c r="C201" s="40">
        <f>SUM(H155)</f>
        <v>0</v>
      </c>
      <c r="D201" s="40"/>
      <c r="E201" s="40"/>
      <c r="F201" s="40"/>
      <c r="G201" s="51"/>
      <c r="H201" s="47"/>
      <c r="I201" s="37" t="s">
        <v>268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43" t="s">
        <v>124</v>
      </c>
      <c r="C202" s="40"/>
      <c r="D202" s="40"/>
      <c r="E202" s="40"/>
      <c r="F202" s="40">
        <f>SUM(H155)</f>
        <v>0</v>
      </c>
      <c r="G202" s="51"/>
      <c r="H202" s="47"/>
      <c r="I202" s="37" t="s">
        <v>21</v>
      </c>
      <c r="J202" s="8">
        <f>SUM(F202)*50</f>
        <v>0</v>
      </c>
      <c r="K202" s="9">
        <f>SUM(C202:F202)*35</f>
        <v>0</v>
      </c>
      <c r="L202" s="9">
        <f t="shared" si="12"/>
        <v>0</v>
      </c>
    </row>
    <row r="203" spans="2:12" ht="15" customHeight="1" x14ac:dyDescent="0.25">
      <c r="B203" s="55" t="s">
        <v>201</v>
      </c>
      <c r="C203" s="40"/>
      <c r="D203" s="40"/>
      <c r="E203" s="40"/>
      <c r="F203" s="40"/>
      <c r="G203" s="35"/>
      <c r="H203" s="48"/>
      <c r="I203" s="37"/>
      <c r="J203" s="8">
        <f>SUM(350*H155)</f>
        <v>0</v>
      </c>
      <c r="K203" s="9"/>
      <c r="L203" s="9"/>
    </row>
    <row r="204" spans="2:12" ht="15" customHeight="1" x14ac:dyDescent="0.25">
      <c r="B204" s="41" t="s">
        <v>180</v>
      </c>
      <c r="C204" s="33"/>
      <c r="D204" s="33">
        <f>SUM(H155)</f>
        <v>0</v>
      </c>
      <c r="E204" s="33">
        <f>SUM(H155)</f>
        <v>0</v>
      </c>
      <c r="F204" s="33">
        <f>SUM(H155)</f>
        <v>0</v>
      </c>
      <c r="G204" s="51"/>
      <c r="H204" s="47"/>
      <c r="I204" s="37" t="s">
        <v>15</v>
      </c>
      <c r="J204" s="8">
        <f>SUM(E204)*50</f>
        <v>0</v>
      </c>
      <c r="K204" s="9">
        <f>SUM(C204:F204)*35</f>
        <v>0</v>
      </c>
      <c r="L204" s="9">
        <f t="shared" ref="L204:L225" si="13">SUM(C204:F204)*50</f>
        <v>0</v>
      </c>
    </row>
    <row r="205" spans="2:12" ht="15" customHeight="1" x14ac:dyDescent="0.25">
      <c r="B205" s="43" t="s">
        <v>172</v>
      </c>
      <c r="C205" s="40"/>
      <c r="D205" s="40"/>
      <c r="E205" s="40">
        <f>SUM(H155)</f>
        <v>0</v>
      </c>
      <c r="F205" s="40"/>
      <c r="G205" s="51"/>
      <c r="H205" s="47"/>
      <c r="I205" s="37" t="s">
        <v>173</v>
      </c>
      <c r="J205" s="8">
        <f>SUM(E205)*50</f>
        <v>0</v>
      </c>
      <c r="K205" s="9">
        <f>SUM(C205:F205)*120</f>
        <v>0</v>
      </c>
      <c r="L205" s="9">
        <f t="shared" si="13"/>
        <v>0</v>
      </c>
    </row>
    <row r="206" spans="2:12" ht="15" customHeight="1" x14ac:dyDescent="0.25">
      <c r="B206" s="43" t="s">
        <v>125</v>
      </c>
      <c r="C206" s="40"/>
      <c r="D206" s="40"/>
      <c r="E206" s="40">
        <f>SUM(H155)</f>
        <v>0</v>
      </c>
      <c r="F206" s="40"/>
      <c r="G206" s="51"/>
      <c r="H206" s="47"/>
      <c r="I206" s="37" t="s">
        <v>282</v>
      </c>
      <c r="J206" s="8">
        <f>SUM(E206)*50</f>
        <v>0</v>
      </c>
      <c r="K206" s="9">
        <f>SUM(C206:F206)*35</f>
        <v>0</v>
      </c>
      <c r="L206" s="9">
        <f t="shared" si="13"/>
        <v>0</v>
      </c>
    </row>
    <row r="207" spans="2:12" ht="15" customHeight="1" x14ac:dyDescent="0.25">
      <c r="B207" s="43" t="s">
        <v>126</v>
      </c>
      <c r="C207" s="40"/>
      <c r="D207" s="40">
        <f>SUM(H155)</f>
        <v>0</v>
      </c>
      <c r="E207" s="40"/>
      <c r="F207" s="40"/>
      <c r="G207" s="51"/>
      <c r="H207" s="47"/>
      <c r="I207" s="52" t="s">
        <v>62</v>
      </c>
      <c r="K207" s="9"/>
      <c r="L207" s="9">
        <f t="shared" si="13"/>
        <v>0</v>
      </c>
    </row>
    <row r="208" spans="2:12" ht="15" customHeight="1" x14ac:dyDescent="0.25">
      <c r="B208" s="43" t="s">
        <v>56</v>
      </c>
      <c r="C208" s="40">
        <f>SUM(H155)</f>
        <v>0</v>
      </c>
      <c r="D208" s="40"/>
      <c r="E208" s="40"/>
      <c r="F208" s="40"/>
      <c r="G208" s="51"/>
      <c r="H208" s="47"/>
      <c r="I208" s="37" t="s">
        <v>268</v>
      </c>
      <c r="K208" s="9">
        <f>SUM(C208:F208)*35</f>
        <v>0</v>
      </c>
      <c r="L208" s="9">
        <f t="shared" si="13"/>
        <v>0</v>
      </c>
    </row>
    <row r="209" spans="2:12" ht="15" customHeight="1" x14ac:dyDescent="0.25">
      <c r="B209" s="43" t="s">
        <v>127</v>
      </c>
      <c r="C209" s="40">
        <f>SUM(H155)*2</f>
        <v>0</v>
      </c>
      <c r="D209" s="40"/>
      <c r="E209" s="40"/>
      <c r="F209" s="40"/>
      <c r="G209" s="51"/>
      <c r="H209" s="47"/>
      <c r="I209" s="37" t="s">
        <v>11</v>
      </c>
      <c r="K209" s="9">
        <f>SUM(C209:F209)*150</f>
        <v>0</v>
      </c>
      <c r="L209" s="9">
        <f t="shared" si="13"/>
        <v>0</v>
      </c>
    </row>
    <row r="210" spans="2:12" ht="15" customHeight="1" x14ac:dyDescent="0.25">
      <c r="B210" s="43" t="s">
        <v>57</v>
      </c>
      <c r="C210" s="40">
        <f>SUM(H155)</f>
        <v>0</v>
      </c>
      <c r="D210" s="40"/>
      <c r="E210" s="40"/>
      <c r="F210" s="40"/>
      <c r="G210" s="51"/>
      <c r="H210" s="47"/>
      <c r="I210" s="37" t="s">
        <v>14</v>
      </c>
      <c r="K210" s="9">
        <f>SUM(C210:F210)*200</f>
        <v>0</v>
      </c>
      <c r="L210" s="9">
        <f t="shared" si="13"/>
        <v>0</v>
      </c>
    </row>
    <row r="211" spans="2:12" ht="15" customHeight="1" x14ac:dyDescent="0.25">
      <c r="B211" s="43" t="s">
        <v>128</v>
      </c>
      <c r="C211" s="40">
        <f>SUM(H155)</f>
        <v>0</v>
      </c>
      <c r="D211" s="40"/>
      <c r="E211" s="40"/>
      <c r="F211" s="40"/>
      <c r="G211" s="51"/>
      <c r="H211" s="47"/>
      <c r="I211" s="37" t="s">
        <v>16</v>
      </c>
      <c r="K211" s="9">
        <f>SUM(C211:F211)*200</f>
        <v>0</v>
      </c>
      <c r="L211" s="9">
        <f t="shared" si="13"/>
        <v>0</v>
      </c>
    </row>
    <row r="212" spans="2:12" ht="15" customHeight="1" x14ac:dyDescent="0.25">
      <c r="B212" s="43" t="s">
        <v>129</v>
      </c>
      <c r="C212" s="40">
        <f>SUM(H155)</f>
        <v>0</v>
      </c>
      <c r="D212" s="40"/>
      <c r="E212" s="40"/>
      <c r="F212" s="40"/>
      <c r="G212" s="51"/>
      <c r="H212" s="47"/>
      <c r="I212" s="37" t="s">
        <v>8</v>
      </c>
      <c r="K212" s="9">
        <f>SUM(C212:F212)*200</f>
        <v>0</v>
      </c>
      <c r="L212" s="9">
        <f t="shared" si="13"/>
        <v>0</v>
      </c>
    </row>
    <row r="213" spans="2:12" ht="15" customHeight="1" x14ac:dyDescent="0.25">
      <c r="B213" s="43" t="s">
        <v>130</v>
      </c>
      <c r="C213" s="40"/>
      <c r="D213" s="40"/>
      <c r="E213" s="40">
        <f>SUM(H155)</f>
        <v>0</v>
      </c>
      <c r="F213" s="40"/>
      <c r="G213" s="51"/>
      <c r="H213" s="47"/>
      <c r="I213" s="37" t="s">
        <v>12</v>
      </c>
      <c r="J213" s="8">
        <f>SUM(E213)*50</f>
        <v>0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43" t="s">
        <v>131</v>
      </c>
      <c r="C214" s="40">
        <f>SUM(H155)</f>
        <v>0</v>
      </c>
      <c r="D214" s="40"/>
      <c r="E214" s="40"/>
      <c r="F214" s="40"/>
      <c r="G214" s="51"/>
      <c r="H214" s="47"/>
      <c r="I214" s="37" t="s">
        <v>268</v>
      </c>
      <c r="K214" s="9">
        <f>SUM(C214:F214)*35</f>
        <v>0</v>
      </c>
      <c r="L214" s="9">
        <f t="shared" si="13"/>
        <v>0</v>
      </c>
    </row>
    <row r="215" spans="2:12" ht="15" customHeight="1" x14ac:dyDescent="0.25">
      <c r="B215" s="43" t="s">
        <v>132</v>
      </c>
      <c r="C215" s="40">
        <f>SUM(H155)*2</f>
        <v>0</v>
      </c>
      <c r="D215" s="40"/>
      <c r="E215" s="40"/>
      <c r="F215" s="40"/>
      <c r="G215" s="51"/>
      <c r="H215" s="47"/>
      <c r="I215" s="37" t="s">
        <v>11</v>
      </c>
      <c r="K215" s="9">
        <f>SUM(C215:F215)*150</f>
        <v>0</v>
      </c>
      <c r="L215" s="9">
        <f t="shared" si="13"/>
        <v>0</v>
      </c>
    </row>
    <row r="216" spans="2:12" ht="15" customHeight="1" x14ac:dyDescent="0.25">
      <c r="B216" s="43" t="s">
        <v>133</v>
      </c>
      <c r="C216" s="40">
        <f>SUM(H155)</f>
        <v>0</v>
      </c>
      <c r="D216" s="40"/>
      <c r="E216" s="40"/>
      <c r="F216" s="40"/>
      <c r="G216" s="51"/>
      <c r="H216" s="47"/>
      <c r="I216" s="37" t="s">
        <v>14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43" t="s">
        <v>134</v>
      </c>
      <c r="C217" s="40">
        <f>SUM(H155)</f>
        <v>0</v>
      </c>
      <c r="D217" s="40"/>
      <c r="E217" s="40"/>
      <c r="F217" s="40"/>
      <c r="G217" s="51"/>
      <c r="H217" s="47"/>
      <c r="I217" s="37" t="s">
        <v>16</v>
      </c>
      <c r="K217" s="9">
        <f>SUM(C217:F217)*200</f>
        <v>0</v>
      </c>
      <c r="L217" s="9">
        <f t="shared" si="13"/>
        <v>0</v>
      </c>
    </row>
    <row r="218" spans="2:12" ht="15" customHeight="1" x14ac:dyDescent="0.25">
      <c r="B218" s="43" t="s">
        <v>135</v>
      </c>
      <c r="C218" s="40">
        <f>SUM(H155)</f>
        <v>0</v>
      </c>
      <c r="D218" s="40"/>
      <c r="E218" s="40"/>
      <c r="F218" s="40"/>
      <c r="G218" s="51"/>
      <c r="H218" s="47"/>
      <c r="I218" s="37" t="s">
        <v>8</v>
      </c>
      <c r="K218" s="9">
        <f>SUM(C218:F218)*200</f>
        <v>0</v>
      </c>
      <c r="L218" s="9">
        <f t="shared" si="13"/>
        <v>0</v>
      </c>
    </row>
    <row r="219" spans="2:12" ht="15" customHeight="1" x14ac:dyDescent="0.25">
      <c r="B219" s="43" t="s">
        <v>136</v>
      </c>
      <c r="C219" s="40"/>
      <c r="D219" s="40"/>
      <c r="E219" s="40">
        <f>SUM(H155)</f>
        <v>0</v>
      </c>
      <c r="F219" s="40"/>
      <c r="G219" s="51"/>
      <c r="H219" s="47"/>
      <c r="I219" s="37" t="s">
        <v>12</v>
      </c>
      <c r="J219" s="8">
        <f>SUM(E219)*50</f>
        <v>0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43" t="s">
        <v>137</v>
      </c>
      <c r="C220" s="40">
        <f>SUM(H155)</f>
        <v>0</v>
      </c>
      <c r="D220" s="40"/>
      <c r="E220" s="40"/>
      <c r="F220" s="40"/>
      <c r="G220" s="51"/>
      <c r="H220" s="47"/>
      <c r="I220" s="37" t="s">
        <v>269</v>
      </c>
      <c r="K220" s="9">
        <f>SUM(35*H155)</f>
        <v>0</v>
      </c>
      <c r="L220" s="9">
        <f t="shared" si="13"/>
        <v>0</v>
      </c>
    </row>
    <row r="221" spans="2:12" ht="15" customHeight="1" x14ac:dyDescent="0.25">
      <c r="B221" s="43" t="s">
        <v>138</v>
      </c>
      <c r="C221" s="40">
        <f>SUM(H155)</f>
        <v>0</v>
      </c>
      <c r="D221" s="40"/>
      <c r="E221" s="40"/>
      <c r="F221" s="40"/>
      <c r="G221" s="51"/>
      <c r="H221" s="47"/>
      <c r="I221" s="37" t="s">
        <v>269</v>
      </c>
      <c r="K221" s="9">
        <f>SUM(35*H155)</f>
        <v>0</v>
      </c>
      <c r="L221" s="9">
        <f t="shared" si="13"/>
        <v>0</v>
      </c>
    </row>
    <row r="222" spans="2:12" ht="15" customHeight="1" x14ac:dyDescent="0.25">
      <c r="B222" s="43" t="s">
        <v>217</v>
      </c>
      <c r="C222" s="40">
        <f>SUM(H155)</f>
        <v>0</v>
      </c>
      <c r="D222" s="40"/>
      <c r="E222" s="40"/>
      <c r="F222" s="40"/>
      <c r="G222" s="51"/>
      <c r="H222" s="47"/>
      <c r="I222" s="37" t="s">
        <v>270</v>
      </c>
      <c r="K222" s="9">
        <f>SUM(C222:F222)*45</f>
        <v>0</v>
      </c>
      <c r="L222" s="9">
        <f t="shared" si="13"/>
        <v>0</v>
      </c>
    </row>
    <row r="223" spans="2:12" ht="15" customHeight="1" x14ac:dyDescent="0.25">
      <c r="B223" s="43" t="s">
        <v>218</v>
      </c>
      <c r="C223" s="40">
        <f>SUM(H155)</f>
        <v>0</v>
      </c>
      <c r="D223" s="40"/>
      <c r="E223" s="40"/>
      <c r="F223" s="40"/>
      <c r="G223" s="51"/>
      <c r="H223" s="47"/>
      <c r="I223" s="37" t="s">
        <v>270</v>
      </c>
      <c r="K223" s="9">
        <f>SUM(C223:F223)*45</f>
        <v>0</v>
      </c>
      <c r="L223" s="9">
        <f t="shared" si="13"/>
        <v>0</v>
      </c>
    </row>
    <row r="224" spans="2:12" ht="15" customHeight="1" x14ac:dyDescent="0.25">
      <c r="B224" s="43" t="s">
        <v>139</v>
      </c>
      <c r="C224" s="40">
        <f>SUM(H155)*2</f>
        <v>0</v>
      </c>
      <c r="D224" s="40"/>
      <c r="E224" s="40"/>
      <c r="F224" s="40"/>
      <c r="G224" s="51"/>
      <c r="H224" s="47"/>
      <c r="I224" s="37" t="s">
        <v>140</v>
      </c>
      <c r="K224" s="9">
        <f>SUM(C224:F224)*150</f>
        <v>0</v>
      </c>
      <c r="L224" s="9">
        <f t="shared" si="13"/>
        <v>0</v>
      </c>
    </row>
    <row r="225" spans="2:12" ht="15" customHeight="1" x14ac:dyDescent="0.25">
      <c r="B225" s="43" t="s">
        <v>141</v>
      </c>
      <c r="C225" s="40">
        <f>SUM(H155)*2</f>
        <v>0</v>
      </c>
      <c r="D225" s="40"/>
      <c r="E225" s="40"/>
      <c r="F225" s="40"/>
      <c r="G225" s="51"/>
      <c r="H225" s="47"/>
      <c r="I225" s="37" t="s">
        <v>140</v>
      </c>
      <c r="K225" s="9">
        <f t="shared" ref="K225:K226" si="14">SUM(C225:F225)*150</f>
        <v>0</v>
      </c>
      <c r="L225" s="9">
        <f t="shared" si="13"/>
        <v>0</v>
      </c>
    </row>
    <row r="226" spans="2:12" ht="15" customHeight="1" x14ac:dyDescent="0.25">
      <c r="B226" s="43" t="s">
        <v>233</v>
      </c>
      <c r="C226" s="40">
        <f>SUM(H155)*2</f>
        <v>0</v>
      </c>
      <c r="D226" s="40"/>
      <c r="E226" s="40"/>
      <c r="F226" s="40"/>
      <c r="G226" s="51"/>
      <c r="H226" s="47"/>
      <c r="I226" s="37" t="s">
        <v>265</v>
      </c>
      <c r="K226" s="9">
        <f t="shared" si="14"/>
        <v>0</v>
      </c>
      <c r="L226" s="9">
        <v>100</v>
      </c>
    </row>
    <row r="227" spans="2:12" ht="15" customHeight="1" x14ac:dyDescent="0.25">
      <c r="B227" s="43" t="s">
        <v>142</v>
      </c>
      <c r="C227" s="40"/>
      <c r="D227" s="40"/>
      <c r="E227" s="40">
        <f>SUM(H155)</f>
        <v>0</v>
      </c>
      <c r="F227" s="40"/>
      <c r="G227" s="51"/>
      <c r="H227" s="47"/>
      <c r="I227" s="37" t="s">
        <v>143</v>
      </c>
      <c r="J227" s="8">
        <f>SUM(E227)*50</f>
        <v>0</v>
      </c>
      <c r="K227" s="9">
        <f>SUM(C227:F227)*35</f>
        <v>0</v>
      </c>
      <c r="L227" s="9">
        <f t="shared" ref="L227:L235" si="15">SUM(C227:F227)*50</f>
        <v>0</v>
      </c>
    </row>
    <row r="228" spans="2:12" ht="15" customHeight="1" x14ac:dyDescent="0.25">
      <c r="B228" s="43" t="s">
        <v>202</v>
      </c>
      <c r="C228" s="40"/>
      <c r="D228" s="40"/>
      <c r="E228" s="40"/>
      <c r="F228" s="40"/>
      <c r="G228" s="53"/>
      <c r="H228" s="47"/>
      <c r="I228" s="37" t="s">
        <v>303</v>
      </c>
      <c r="J228" s="8">
        <f>SUM(350*H155)</f>
        <v>0</v>
      </c>
      <c r="K228" s="9">
        <f>SUM(C228:F228)*1800</f>
        <v>0</v>
      </c>
      <c r="L228" s="9">
        <f t="shared" si="15"/>
        <v>0</v>
      </c>
    </row>
    <row r="229" spans="2:12" ht="15" customHeight="1" x14ac:dyDescent="0.25">
      <c r="B229" s="41" t="s">
        <v>179</v>
      </c>
      <c r="C229" s="33"/>
      <c r="D229" s="33"/>
      <c r="E229" s="33">
        <f>SUM(H155)</f>
        <v>0</v>
      </c>
      <c r="F229" s="33">
        <f>SUM(H155)</f>
        <v>0</v>
      </c>
      <c r="G229" s="51"/>
      <c r="H229" s="47"/>
      <c r="I229" s="37" t="s">
        <v>15</v>
      </c>
      <c r="J229" s="8">
        <f>SUM(E229)*50</f>
        <v>0</v>
      </c>
      <c r="K229" s="9">
        <f>SUM(C229:F229)*35</f>
        <v>0</v>
      </c>
      <c r="L229" s="9">
        <f t="shared" si="15"/>
        <v>0</v>
      </c>
    </row>
    <row r="230" spans="2:12" ht="15" customHeight="1" x14ac:dyDescent="0.25">
      <c r="B230" s="41" t="s">
        <v>180</v>
      </c>
      <c r="C230" s="33"/>
      <c r="D230" s="33">
        <f>SUM(H155)</f>
        <v>0</v>
      </c>
      <c r="E230" s="33">
        <f>SUM(H155)</f>
        <v>0</v>
      </c>
      <c r="F230" s="33">
        <f>SUM(H155)</f>
        <v>0</v>
      </c>
      <c r="G230" s="51"/>
      <c r="H230" s="47"/>
      <c r="I230" s="37" t="s">
        <v>15</v>
      </c>
      <c r="J230" s="8">
        <f>SUM(E230)*50</f>
        <v>0</v>
      </c>
      <c r="K230" s="9">
        <f>SUM(C230:F230)*35</f>
        <v>0</v>
      </c>
      <c r="L230" s="9">
        <f t="shared" si="15"/>
        <v>0</v>
      </c>
    </row>
    <row r="231" spans="2:12" ht="15" customHeight="1" x14ac:dyDescent="0.25">
      <c r="B231" s="43" t="s">
        <v>59</v>
      </c>
      <c r="C231" s="40"/>
      <c r="D231" s="40"/>
      <c r="E231" s="40">
        <f>SUM(H155)</f>
        <v>0</v>
      </c>
      <c r="F231" s="40"/>
      <c r="G231" s="51"/>
      <c r="H231" s="47"/>
      <c r="I231" s="37" t="s">
        <v>282</v>
      </c>
      <c r="J231" s="8">
        <f>SUM(E231)*50</f>
        <v>0</v>
      </c>
      <c r="K231" s="9">
        <f>SUM(35*H155)</f>
        <v>0</v>
      </c>
      <c r="L231" s="9">
        <f t="shared" si="15"/>
        <v>0</v>
      </c>
    </row>
    <row r="232" spans="2:12" ht="15" customHeight="1" x14ac:dyDescent="0.25">
      <c r="B232" s="43" t="s">
        <v>203</v>
      </c>
      <c r="C232" s="40"/>
      <c r="D232" s="40"/>
      <c r="E232" s="40"/>
      <c r="F232" s="40"/>
      <c r="G232" s="53"/>
      <c r="H232" s="47"/>
      <c r="I232" s="37" t="s">
        <v>303</v>
      </c>
      <c r="J232" s="8">
        <f>SUM(350*H159)</f>
        <v>0</v>
      </c>
      <c r="K232" s="9">
        <f>SUM(C232:F232)*1800</f>
        <v>0</v>
      </c>
      <c r="L232" s="9">
        <f t="shared" ref="L232" si="16">SUM(C232:F232)*50</f>
        <v>0</v>
      </c>
    </row>
    <row r="233" spans="2:12" ht="15" customHeight="1" x14ac:dyDescent="0.25">
      <c r="B233" s="41" t="s">
        <v>179</v>
      </c>
      <c r="C233" s="33"/>
      <c r="D233" s="33"/>
      <c r="E233" s="33">
        <f>SUM(H155)</f>
        <v>0</v>
      </c>
      <c r="F233" s="33">
        <f>SUM(H155)</f>
        <v>0</v>
      </c>
      <c r="G233" s="51"/>
      <c r="H233" s="47"/>
      <c r="I233" s="37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41" t="s">
        <v>180</v>
      </c>
      <c r="C234" s="33"/>
      <c r="D234" s="33">
        <f>SUM(H155)</f>
        <v>0</v>
      </c>
      <c r="E234" s="33">
        <f>SUM(H155)</f>
        <v>0</v>
      </c>
      <c r="F234" s="33">
        <f>SUM(H155)</f>
        <v>0</v>
      </c>
      <c r="G234" s="51"/>
      <c r="H234" s="47"/>
      <c r="I234" s="37" t="s">
        <v>15</v>
      </c>
      <c r="J234" s="8">
        <f>SUM(E234)*50</f>
        <v>0</v>
      </c>
      <c r="K234" s="9">
        <f>SUM(C234:F234)*35</f>
        <v>0</v>
      </c>
      <c r="L234" s="9">
        <f t="shared" si="15"/>
        <v>0</v>
      </c>
    </row>
    <row r="235" spans="2:12" ht="15" customHeight="1" x14ac:dyDescent="0.25">
      <c r="B235" s="43" t="s">
        <v>59</v>
      </c>
      <c r="C235" s="40"/>
      <c r="D235" s="40"/>
      <c r="E235" s="40">
        <f>SUM(H155)</f>
        <v>0</v>
      </c>
      <c r="F235" s="40"/>
      <c r="G235" s="51"/>
      <c r="H235" s="47"/>
      <c r="I235" s="37" t="s">
        <v>282</v>
      </c>
      <c r="J235" s="8">
        <f>SUM(E235)*50</f>
        <v>0</v>
      </c>
      <c r="K235" s="9">
        <f>SUM(35*H155)</f>
        <v>0</v>
      </c>
      <c r="L235" s="9">
        <f t="shared" si="15"/>
        <v>0</v>
      </c>
    </row>
    <row r="236" spans="2:12" ht="15" customHeight="1" x14ac:dyDescent="0.25">
      <c r="B236" s="43"/>
      <c r="C236" s="40"/>
      <c r="D236" s="40"/>
      <c r="E236" s="40"/>
      <c r="F236" s="40"/>
      <c r="G236" s="51"/>
      <c r="H236" s="47"/>
      <c r="I236" s="37"/>
      <c r="K236" s="9"/>
      <c r="L236" s="9"/>
    </row>
    <row r="237" spans="2:12" ht="15" customHeight="1" x14ac:dyDescent="0.25">
      <c r="B237" s="38" t="s">
        <v>235</v>
      </c>
      <c r="C237" s="40"/>
      <c r="D237" s="40"/>
      <c r="E237" s="40"/>
      <c r="F237" s="40"/>
      <c r="G237" s="51"/>
      <c r="H237" s="45"/>
      <c r="I237" s="37"/>
      <c r="K237" s="9"/>
      <c r="L237" s="9"/>
    </row>
    <row r="238" spans="2:12" ht="15" customHeight="1" x14ac:dyDescent="0.25">
      <c r="B238" s="43" t="s">
        <v>60</v>
      </c>
      <c r="C238" s="40"/>
      <c r="D238" s="40">
        <f>SUM(H237)</f>
        <v>0</v>
      </c>
      <c r="E238" s="40"/>
      <c r="F238" s="40"/>
      <c r="G238" s="51"/>
      <c r="H238" s="47"/>
      <c r="I238" s="52" t="s">
        <v>144</v>
      </c>
      <c r="K238" s="9">
        <f>SUM(C238:F238)*350</f>
        <v>0</v>
      </c>
      <c r="L238" s="9">
        <f>SUM(C238:F238)*50</f>
        <v>0</v>
      </c>
    </row>
    <row r="239" spans="2:12" ht="15" customHeight="1" x14ac:dyDescent="0.25">
      <c r="B239" s="43" t="s">
        <v>10</v>
      </c>
      <c r="C239" s="40">
        <f>SUM(H237)</f>
        <v>0</v>
      </c>
      <c r="D239" s="40"/>
      <c r="E239" s="40"/>
      <c r="F239" s="40"/>
      <c r="G239" s="51"/>
      <c r="H239" s="47"/>
      <c r="I239" s="37" t="s">
        <v>269</v>
      </c>
      <c r="K239" s="9">
        <f>SUM(35*H237)</f>
        <v>0</v>
      </c>
      <c r="L239" s="9">
        <f>SUM(C239:F239)*50</f>
        <v>0</v>
      </c>
    </row>
    <row r="240" spans="2:12" ht="15" customHeight="1" x14ac:dyDescent="0.25">
      <c r="B240" s="43" t="s">
        <v>56</v>
      </c>
      <c r="C240" s="40">
        <f>SUM(H237)</f>
        <v>0</v>
      </c>
      <c r="D240" s="40"/>
      <c r="E240" s="40"/>
      <c r="F240" s="40"/>
      <c r="G240" s="51"/>
      <c r="H240" s="47"/>
      <c r="I240" s="37" t="s">
        <v>268</v>
      </c>
      <c r="K240" s="9">
        <f>SUM(35*H237)</f>
        <v>0</v>
      </c>
      <c r="L240" s="9">
        <f>SUM(C240:F240)*50</f>
        <v>0</v>
      </c>
    </row>
    <row r="241" spans="2:12" ht="15" customHeight="1" x14ac:dyDescent="0.25">
      <c r="B241" s="55"/>
      <c r="C241" s="40"/>
      <c r="D241" s="40"/>
      <c r="E241" s="40"/>
      <c r="F241" s="40"/>
      <c r="G241" s="51"/>
      <c r="H241" s="47"/>
      <c r="I241" s="37"/>
      <c r="K241" s="9"/>
      <c r="L241" s="9"/>
    </row>
    <row r="242" spans="2:12" ht="15" customHeight="1" x14ac:dyDescent="0.25">
      <c r="B242" s="55" t="s">
        <v>304</v>
      </c>
      <c r="C242" s="40"/>
      <c r="D242" s="40"/>
      <c r="E242" s="40"/>
      <c r="F242" s="40"/>
      <c r="G242" s="35"/>
      <c r="H242" s="33"/>
      <c r="I242" s="37"/>
      <c r="K242" s="9"/>
      <c r="L242" s="9"/>
    </row>
    <row r="243" spans="2:12" ht="15" customHeight="1" x14ac:dyDescent="0.25">
      <c r="B243" s="41" t="s">
        <v>179</v>
      </c>
      <c r="C243" s="33"/>
      <c r="D243" s="33"/>
      <c r="E243" s="33">
        <f>SUM(H242)</f>
        <v>0</v>
      </c>
      <c r="F243" s="33">
        <f>SUM(H242)</f>
        <v>0</v>
      </c>
      <c r="G243" s="51"/>
      <c r="H243" s="47"/>
      <c r="I243" s="37" t="s">
        <v>23</v>
      </c>
      <c r="J243" s="8">
        <f>SUM(E243)*350</f>
        <v>0</v>
      </c>
      <c r="K243" s="9">
        <f>SUM(C243:F243)*35</f>
        <v>0</v>
      </c>
      <c r="L243" s="9">
        <f>SUM(C243:F243)*50</f>
        <v>0</v>
      </c>
    </row>
    <row r="244" spans="2:12" ht="15" customHeight="1" x14ac:dyDescent="0.25">
      <c r="B244" s="55"/>
      <c r="C244" s="40"/>
      <c r="D244" s="40"/>
      <c r="E244" s="40"/>
      <c r="F244" s="40"/>
      <c r="G244" s="51"/>
      <c r="H244" s="47"/>
      <c r="I244" s="37"/>
      <c r="K244" s="9"/>
      <c r="L244" s="9"/>
    </row>
    <row r="245" spans="2:12" ht="15" customHeight="1" x14ac:dyDescent="0.25">
      <c r="B245" s="38" t="s">
        <v>145</v>
      </c>
      <c r="C245" s="40"/>
      <c r="D245" s="40"/>
      <c r="E245" s="40"/>
      <c r="F245" s="40"/>
      <c r="G245" s="51"/>
      <c r="H245" s="45"/>
      <c r="I245" s="37"/>
      <c r="K245" s="9"/>
      <c r="L245" s="9"/>
    </row>
    <row r="246" spans="2:12" ht="15" customHeight="1" x14ac:dyDescent="0.25">
      <c r="B246" s="43" t="s">
        <v>146</v>
      </c>
      <c r="C246" s="40"/>
      <c r="D246" s="40"/>
      <c r="E246" s="40"/>
      <c r="F246" s="40">
        <f>SUM(H245)</f>
        <v>0</v>
      </c>
      <c r="G246" s="51"/>
      <c r="H246" s="47"/>
      <c r="I246" s="37" t="s">
        <v>15</v>
      </c>
      <c r="J246" s="9">
        <f>SUM(F246)*100</f>
        <v>0</v>
      </c>
      <c r="K246" s="9"/>
      <c r="L246" s="9">
        <f t="shared" ref="L246:L252" si="17">SUM(C246:F246)*50</f>
        <v>0</v>
      </c>
    </row>
    <row r="247" spans="2:12" ht="15" customHeight="1" x14ac:dyDescent="0.25">
      <c r="B247" s="43" t="s">
        <v>147</v>
      </c>
      <c r="C247" s="40"/>
      <c r="D247" s="40"/>
      <c r="E247" s="40">
        <f>SUM(H245)</f>
        <v>0</v>
      </c>
      <c r="F247" s="40"/>
      <c r="G247" s="51"/>
      <c r="H247" s="47"/>
      <c r="I247" s="37" t="s">
        <v>15</v>
      </c>
      <c r="J247" s="9">
        <f>SUM(E247)*100</f>
        <v>0</v>
      </c>
      <c r="K247" s="9"/>
      <c r="L247" s="9">
        <f t="shared" si="17"/>
        <v>0</v>
      </c>
    </row>
    <row r="248" spans="2:12" ht="15" customHeight="1" x14ac:dyDescent="0.25">
      <c r="B248" s="43"/>
      <c r="C248" s="40"/>
      <c r="D248" s="40"/>
      <c r="E248" s="40"/>
      <c r="F248" s="40"/>
      <c r="G248" s="51"/>
      <c r="H248" s="47"/>
      <c r="I248" s="37"/>
      <c r="K248" s="9"/>
      <c r="L248" s="9">
        <f t="shared" si="17"/>
        <v>0</v>
      </c>
    </row>
    <row r="249" spans="2:12" ht="15" customHeight="1" x14ac:dyDescent="0.25">
      <c r="B249" s="38" t="s">
        <v>61</v>
      </c>
      <c r="C249" s="40"/>
      <c r="D249" s="40"/>
      <c r="E249" s="40"/>
      <c r="F249" s="40"/>
      <c r="G249" s="51"/>
      <c r="H249" s="47"/>
      <c r="I249" s="37"/>
      <c r="K249" s="9"/>
      <c r="L249" s="9">
        <f t="shared" si="17"/>
        <v>0</v>
      </c>
    </row>
    <row r="250" spans="2:12" ht="15" customHeight="1" x14ac:dyDescent="0.25">
      <c r="B250" s="43" t="s">
        <v>149</v>
      </c>
      <c r="C250" s="40">
        <f>SUM(H249)</f>
        <v>0</v>
      </c>
      <c r="D250" s="40"/>
      <c r="E250" s="40"/>
      <c r="F250" s="40"/>
      <c r="G250" s="51"/>
      <c r="H250" s="45"/>
      <c r="I250" s="52" t="s">
        <v>62</v>
      </c>
      <c r="K250" s="9"/>
      <c r="L250" s="9">
        <f t="shared" si="17"/>
        <v>0</v>
      </c>
    </row>
    <row r="251" spans="2:12" ht="15" customHeight="1" x14ac:dyDescent="0.25">
      <c r="B251" s="43" t="s">
        <v>148</v>
      </c>
      <c r="C251" s="40">
        <f>SUM(H249)</f>
        <v>0</v>
      </c>
      <c r="D251" s="40"/>
      <c r="E251" s="40"/>
      <c r="F251" s="40"/>
      <c r="G251" s="51"/>
      <c r="H251" s="45"/>
      <c r="I251" s="52" t="s">
        <v>62</v>
      </c>
      <c r="K251" s="9"/>
      <c r="L251" s="9">
        <f t="shared" si="17"/>
        <v>0</v>
      </c>
    </row>
    <row r="252" spans="2:12" ht="15" customHeight="1" x14ac:dyDescent="0.25">
      <c r="B252" s="43" t="s">
        <v>150</v>
      </c>
      <c r="C252" s="40">
        <f>SUM(H249)</f>
        <v>0</v>
      </c>
      <c r="D252" s="40"/>
      <c r="E252" s="40"/>
      <c r="F252" s="40"/>
      <c r="G252" s="51"/>
      <c r="H252" s="45"/>
      <c r="I252" s="52" t="s">
        <v>62</v>
      </c>
      <c r="K252" s="9"/>
      <c r="L252" s="9">
        <f t="shared" si="17"/>
        <v>0</v>
      </c>
    </row>
    <row r="253" spans="2:12" ht="15" customHeight="1" x14ac:dyDescent="0.25">
      <c r="B253" s="43"/>
      <c r="C253" s="40"/>
      <c r="D253" s="40"/>
      <c r="E253" s="40"/>
      <c r="F253" s="40"/>
      <c r="G253" s="51"/>
      <c r="H253" s="47"/>
      <c r="I253" s="37"/>
      <c r="K253" s="9"/>
      <c r="L253" s="9"/>
    </row>
    <row r="254" spans="2:12" ht="15" customHeight="1" x14ac:dyDescent="0.25">
      <c r="B254" s="43" t="s">
        <v>151</v>
      </c>
      <c r="C254" s="40"/>
      <c r="D254" s="40"/>
      <c r="E254" s="40">
        <v>0</v>
      </c>
      <c r="F254" s="40"/>
      <c r="G254" s="51"/>
      <c r="H254" s="47"/>
      <c r="I254" s="37" t="s">
        <v>15</v>
      </c>
      <c r="J254" s="9">
        <f>SUM(E254)*150</f>
        <v>0</v>
      </c>
      <c r="K254" s="9"/>
      <c r="L254" s="9">
        <f>SUM(C254:F254)*50</f>
        <v>0</v>
      </c>
    </row>
    <row r="255" spans="2:12" ht="15" customHeight="1" x14ac:dyDescent="0.25">
      <c r="B255" s="43"/>
      <c r="C255" s="40"/>
      <c r="D255" s="40"/>
      <c r="E255" s="40"/>
      <c r="F255" s="40"/>
      <c r="G255" s="51"/>
      <c r="H255" s="47"/>
      <c r="I255" s="37"/>
      <c r="K255" s="9"/>
      <c r="L255" s="9"/>
    </row>
    <row r="256" spans="2:12" ht="15" customHeight="1" x14ac:dyDescent="0.25">
      <c r="B256" s="38" t="s">
        <v>168</v>
      </c>
      <c r="C256" s="40"/>
      <c r="D256" s="40"/>
      <c r="E256" s="40"/>
      <c r="F256" s="40"/>
      <c r="G256" s="51"/>
      <c r="H256" s="45"/>
      <c r="I256" s="37"/>
      <c r="K256" s="9"/>
      <c r="L256" s="9"/>
    </row>
    <row r="257" spans="2:12" ht="15" customHeight="1" x14ac:dyDescent="0.25">
      <c r="B257" s="43" t="s">
        <v>152</v>
      </c>
      <c r="C257" s="40"/>
      <c r="D257" s="40"/>
      <c r="E257" s="40">
        <f>SUM(H256)</f>
        <v>0</v>
      </c>
      <c r="F257" s="40"/>
      <c r="G257" s="51"/>
      <c r="H257" s="47"/>
      <c r="I257" s="37" t="s">
        <v>15</v>
      </c>
      <c r="J257" s="9">
        <f>SUM(E257)*50</f>
        <v>0</v>
      </c>
      <c r="K257" s="9"/>
      <c r="L257" s="9">
        <f>SUM(C257:F257)*50</f>
        <v>0</v>
      </c>
    </row>
    <row r="258" spans="2:12" ht="15" customHeight="1" x14ac:dyDescent="0.25">
      <c r="B258" s="43" t="s">
        <v>153</v>
      </c>
      <c r="C258" s="40"/>
      <c r="D258" s="40"/>
      <c r="E258" s="40">
        <f>SUM(H256)</f>
        <v>0</v>
      </c>
      <c r="F258" s="40"/>
      <c r="G258" s="51"/>
      <c r="H258" s="47"/>
      <c r="I258" s="37" t="s">
        <v>15</v>
      </c>
      <c r="J258" s="9">
        <f>SUM(E258)*50</f>
        <v>0</v>
      </c>
      <c r="K258" s="9"/>
      <c r="L258" s="9">
        <f>SUM(C258:F258)*50</f>
        <v>0</v>
      </c>
    </row>
    <row r="259" spans="2:12" ht="15" customHeight="1" x14ac:dyDescent="0.25">
      <c r="B259" s="43" t="s">
        <v>165</v>
      </c>
      <c r="C259" s="40"/>
      <c r="D259" s="40"/>
      <c r="E259" s="40">
        <f>SUM(H256)</f>
        <v>0</v>
      </c>
      <c r="F259" s="40"/>
      <c r="G259" s="51"/>
      <c r="H259" s="47"/>
      <c r="I259" s="37" t="s">
        <v>15</v>
      </c>
      <c r="J259" s="9">
        <f>SUM(E259)*50</f>
        <v>0</v>
      </c>
      <c r="K259" s="9"/>
      <c r="L259" s="9">
        <f>SUM(C259:F259)*50</f>
        <v>0</v>
      </c>
    </row>
    <row r="260" spans="2:12" ht="15" customHeight="1" x14ac:dyDescent="0.25">
      <c r="B260" s="43" t="s">
        <v>166</v>
      </c>
      <c r="C260" s="40"/>
      <c r="D260" s="40"/>
      <c r="E260" s="40">
        <f>SUM(H256)</f>
        <v>0</v>
      </c>
      <c r="F260" s="40"/>
      <c r="G260" s="51"/>
      <c r="H260" s="47"/>
      <c r="I260" s="37" t="s">
        <v>15</v>
      </c>
      <c r="J260" s="9">
        <f>SUM(E260)*135</f>
        <v>0</v>
      </c>
      <c r="K260" s="9"/>
      <c r="L260" s="9">
        <f>SUM(C260:F260)*50</f>
        <v>0</v>
      </c>
    </row>
    <row r="261" spans="2:12" ht="15" customHeight="1" x14ac:dyDescent="0.25">
      <c r="B261" s="43" t="s">
        <v>167</v>
      </c>
      <c r="C261" s="40"/>
      <c r="D261" s="40"/>
      <c r="E261" s="40">
        <f>SUM(H256)</f>
        <v>0</v>
      </c>
      <c r="F261" s="40"/>
      <c r="G261" s="51"/>
      <c r="H261" s="47"/>
      <c r="I261" s="37" t="s">
        <v>15</v>
      </c>
      <c r="J261" s="9">
        <f>SUM(E261)*135</f>
        <v>0</v>
      </c>
      <c r="K261" s="9"/>
      <c r="L261" s="9">
        <f>SUM(C261:F261)*50</f>
        <v>0</v>
      </c>
    </row>
    <row r="262" spans="2:12" ht="15" customHeight="1" x14ac:dyDescent="0.25">
      <c r="B262" s="38"/>
      <c r="C262" s="40"/>
      <c r="D262" s="40"/>
      <c r="E262" s="40"/>
      <c r="F262" s="40"/>
      <c r="G262" s="51"/>
      <c r="H262" s="47"/>
      <c r="I262" s="37"/>
      <c r="K262" s="9"/>
      <c r="L262" s="9"/>
    </row>
    <row r="263" spans="2:12" ht="15" customHeight="1" x14ac:dyDescent="0.25">
      <c r="B263" s="38" t="s">
        <v>279</v>
      </c>
      <c r="C263" s="40"/>
      <c r="D263" s="40"/>
      <c r="E263" s="40"/>
      <c r="F263" s="40"/>
      <c r="G263" s="35"/>
      <c r="H263" s="33"/>
      <c r="I263" s="37"/>
      <c r="J263" s="9">
        <f>SUM(H263)*150</f>
        <v>0</v>
      </c>
      <c r="K263" s="9"/>
      <c r="L263" s="9"/>
    </row>
    <row r="264" spans="2:12" ht="15" customHeight="1" x14ac:dyDescent="0.25">
      <c r="B264" s="43" t="s">
        <v>154</v>
      </c>
      <c r="C264" s="40"/>
      <c r="D264" s="40"/>
      <c r="E264" s="40"/>
      <c r="F264" s="40">
        <f>SUM(H263)</f>
        <v>0</v>
      </c>
      <c r="G264" s="51"/>
      <c r="H264" s="47"/>
      <c r="I264" s="37" t="s">
        <v>15</v>
      </c>
      <c r="J264" s="9"/>
      <c r="K264" s="9"/>
      <c r="L264" s="9">
        <f>SUM(C264:F264)*50</f>
        <v>0</v>
      </c>
    </row>
    <row r="265" spans="2:12" ht="15" customHeight="1" x14ac:dyDescent="0.25">
      <c r="B265" s="43" t="s">
        <v>155</v>
      </c>
      <c r="C265" s="40"/>
      <c r="D265" s="40"/>
      <c r="E265" s="40">
        <f>SUM(H263)</f>
        <v>0</v>
      </c>
      <c r="F265" s="40"/>
      <c r="G265" s="51"/>
      <c r="H265" s="47"/>
      <c r="I265" s="37" t="s">
        <v>23</v>
      </c>
      <c r="J265" s="9">
        <f>SUM(E265)*50</f>
        <v>0</v>
      </c>
      <c r="K265" s="9">
        <f>SUM(C265:F265)*35</f>
        <v>0</v>
      </c>
      <c r="L265" s="9">
        <f>SUM(C265:F265)*50</f>
        <v>0</v>
      </c>
    </row>
    <row r="266" spans="2:12" ht="15" customHeight="1" x14ac:dyDescent="0.25">
      <c r="B266" s="43" t="s">
        <v>156</v>
      </c>
      <c r="C266" s="40"/>
      <c r="D266" s="40">
        <f>SUM(H263)</f>
        <v>0</v>
      </c>
      <c r="E266" s="40"/>
      <c r="F266" s="40"/>
      <c r="G266" s="51"/>
      <c r="H266" s="47"/>
      <c r="I266" s="52" t="s">
        <v>157</v>
      </c>
      <c r="K266" s="9">
        <f>SUM(C266:F266)*200</f>
        <v>0</v>
      </c>
      <c r="L266" s="9">
        <f>SUM(C266:F266)*50</f>
        <v>0</v>
      </c>
    </row>
    <row r="267" spans="2:12" ht="15" customHeight="1" x14ac:dyDescent="0.25">
      <c r="B267" s="43" t="s">
        <v>10</v>
      </c>
      <c r="C267" s="40">
        <f>SUM(H263)</f>
        <v>0</v>
      </c>
      <c r="D267" s="40"/>
      <c r="E267" s="40"/>
      <c r="F267" s="40"/>
      <c r="G267" s="51"/>
      <c r="H267" s="47"/>
      <c r="I267" s="37" t="s">
        <v>269</v>
      </c>
      <c r="K267" s="9">
        <f>SUM(35*H263)</f>
        <v>0</v>
      </c>
      <c r="L267" s="9">
        <f>SUM(C267:F267)*50</f>
        <v>0</v>
      </c>
    </row>
    <row r="268" spans="2:12" ht="15" customHeight="1" x14ac:dyDescent="0.25">
      <c r="B268" s="43"/>
      <c r="C268" s="40"/>
      <c r="D268" s="40"/>
      <c r="E268" s="40"/>
      <c r="F268" s="40"/>
      <c r="G268" s="51"/>
      <c r="H268" s="47"/>
      <c r="I268" s="37"/>
      <c r="K268" s="9"/>
      <c r="L268" s="9"/>
    </row>
    <row r="269" spans="2:12" ht="15" customHeight="1" x14ac:dyDescent="0.25">
      <c r="B269" s="38" t="s">
        <v>280</v>
      </c>
      <c r="C269" s="40"/>
      <c r="D269" s="40"/>
      <c r="E269" s="40"/>
      <c r="F269" s="40"/>
      <c r="G269" s="35"/>
      <c r="H269" s="33"/>
      <c r="I269" s="37"/>
      <c r="J269" s="9">
        <f>SUM(H269)*350</f>
        <v>0</v>
      </c>
      <c r="K269" s="9"/>
      <c r="L269" s="9"/>
    </row>
    <row r="270" spans="2:12" ht="15" customHeight="1" x14ac:dyDescent="0.25">
      <c r="B270" s="43" t="s">
        <v>158</v>
      </c>
      <c r="C270" s="40"/>
      <c r="D270" s="40"/>
      <c r="E270" s="40"/>
      <c r="F270" s="40">
        <f>SUM(H269)</f>
        <v>0</v>
      </c>
      <c r="G270" s="51"/>
      <c r="H270" s="47"/>
      <c r="I270" s="37" t="s">
        <v>15</v>
      </c>
      <c r="K270" s="9"/>
      <c r="L270" s="9">
        <f>SUM(C270:F270)*50</f>
        <v>0</v>
      </c>
    </row>
    <row r="271" spans="2:12" ht="15" customHeight="1" x14ac:dyDescent="0.25">
      <c r="B271" s="43" t="s">
        <v>159</v>
      </c>
      <c r="C271" s="40"/>
      <c r="D271" s="40"/>
      <c r="E271" s="40">
        <f>SUM(H269)</f>
        <v>0</v>
      </c>
      <c r="F271" s="40"/>
      <c r="G271" s="51"/>
      <c r="H271" s="47"/>
      <c r="I271" s="37" t="s">
        <v>23</v>
      </c>
      <c r="J271" s="9">
        <f>SUM(E271)*50</f>
        <v>0</v>
      </c>
      <c r="K271" s="9">
        <f>SUM(C271:F271)*35</f>
        <v>0</v>
      </c>
      <c r="L271" s="9">
        <f>SUM(C271:F271)*50</f>
        <v>0</v>
      </c>
    </row>
    <row r="272" spans="2:12" ht="15" customHeight="1" x14ac:dyDescent="0.25">
      <c r="B272" s="43" t="s">
        <v>160</v>
      </c>
      <c r="C272" s="40"/>
      <c r="D272" s="40">
        <f>SUM(H269)</f>
        <v>0</v>
      </c>
      <c r="E272" s="40"/>
      <c r="F272" s="40"/>
      <c r="G272" s="51"/>
      <c r="H272" s="47"/>
      <c r="I272" s="52" t="s">
        <v>157</v>
      </c>
      <c r="K272" s="9">
        <f>SUM(C272:F272)*200</f>
        <v>0</v>
      </c>
      <c r="L272" s="9">
        <f>SUM(C272:F272)*50</f>
        <v>0</v>
      </c>
    </row>
    <row r="273" spans="2:12" ht="15" customHeight="1" x14ac:dyDescent="0.25">
      <c r="B273" s="43" t="s">
        <v>10</v>
      </c>
      <c r="C273" s="40">
        <f>SUM(H269)</f>
        <v>0</v>
      </c>
      <c r="D273" s="40"/>
      <c r="E273" s="40"/>
      <c r="F273" s="40"/>
      <c r="G273" s="51"/>
      <c r="H273" s="47"/>
      <c r="I273" s="37" t="s">
        <v>269</v>
      </c>
      <c r="K273" s="9">
        <f>SUM(5*H269)</f>
        <v>0</v>
      </c>
      <c r="L273" s="9">
        <f>SUM(C273:F273)*50</f>
        <v>0</v>
      </c>
    </row>
    <row r="274" spans="2:12" ht="15" customHeight="1" x14ac:dyDescent="0.25">
      <c r="B274" s="43"/>
      <c r="C274" s="40"/>
      <c r="D274" s="40"/>
      <c r="E274" s="40"/>
      <c r="F274" s="40"/>
      <c r="G274" s="51"/>
      <c r="H274" s="47"/>
      <c r="I274" s="37"/>
      <c r="K274" s="9"/>
      <c r="L274" s="9"/>
    </row>
    <row r="275" spans="2:12" ht="15" customHeight="1" x14ac:dyDescent="0.25">
      <c r="B275" s="38" t="s">
        <v>190</v>
      </c>
      <c r="C275" s="33"/>
      <c r="D275" s="33"/>
      <c r="E275" s="33"/>
      <c r="F275" s="33"/>
      <c r="G275" s="35"/>
      <c r="H275" s="33"/>
      <c r="I275" s="37" t="s">
        <v>15</v>
      </c>
      <c r="J275" s="8">
        <f>SUM(350*H275)</f>
        <v>0</v>
      </c>
      <c r="K275" s="9"/>
      <c r="L275" s="9"/>
    </row>
    <row r="276" spans="2:12" ht="15" customHeight="1" x14ac:dyDescent="0.25">
      <c r="B276" s="41" t="s">
        <v>36</v>
      </c>
      <c r="C276" s="33"/>
      <c r="D276" s="33"/>
      <c r="E276" s="33"/>
      <c r="F276" s="33">
        <f>SUM(H275)</f>
        <v>0</v>
      </c>
      <c r="G276" s="51"/>
      <c r="H276" s="47"/>
      <c r="I276" s="37" t="s">
        <v>15</v>
      </c>
      <c r="K276" s="9"/>
      <c r="L276" s="9">
        <f t="shared" ref="L276:L285" si="18">SUM(C276:F276)*50</f>
        <v>0</v>
      </c>
    </row>
    <row r="277" spans="2:12" ht="15" customHeight="1" x14ac:dyDescent="0.25">
      <c r="B277" s="41" t="s">
        <v>37</v>
      </c>
      <c r="C277" s="33"/>
      <c r="D277" s="33"/>
      <c r="E277" s="33">
        <f>SUM(H275)</f>
        <v>0</v>
      </c>
      <c r="F277" s="33"/>
      <c r="G277" s="51"/>
      <c r="H277" s="47"/>
      <c r="I277" s="37" t="s">
        <v>23</v>
      </c>
      <c r="J277" s="9">
        <f>SUM(E277)*50</f>
        <v>0</v>
      </c>
      <c r="K277" s="9">
        <f>SUM(C277:F277)*35</f>
        <v>0</v>
      </c>
      <c r="L277" s="9">
        <f t="shared" si="18"/>
        <v>0</v>
      </c>
    </row>
    <row r="278" spans="2:12" ht="15" customHeight="1" x14ac:dyDescent="0.25">
      <c r="B278" s="41" t="s">
        <v>29</v>
      </c>
      <c r="C278" s="33">
        <f>SUM(H275)</f>
        <v>0</v>
      </c>
      <c r="D278" s="33"/>
      <c r="E278" s="33"/>
      <c r="F278" s="33"/>
      <c r="G278" s="51"/>
      <c r="H278" s="47"/>
      <c r="I278" s="37" t="s">
        <v>267</v>
      </c>
      <c r="J278" s="9"/>
      <c r="K278" s="9">
        <f>SUM(35*H275)</f>
        <v>0</v>
      </c>
      <c r="L278" s="9">
        <f t="shared" si="18"/>
        <v>0</v>
      </c>
    </row>
    <row r="279" spans="2:12" ht="15" customHeight="1" x14ac:dyDescent="0.25">
      <c r="B279" s="41" t="s">
        <v>30</v>
      </c>
      <c r="C279" s="33">
        <f>SUM(H275)</f>
        <v>0</v>
      </c>
      <c r="D279" s="33"/>
      <c r="E279" s="33"/>
      <c r="F279" s="33"/>
      <c r="G279" s="51"/>
      <c r="H279" s="47"/>
      <c r="I279" s="37" t="s">
        <v>267</v>
      </c>
      <c r="J279" s="9"/>
      <c r="K279" s="9">
        <f>SUM(35*H275)</f>
        <v>0</v>
      </c>
      <c r="L279" s="9">
        <f t="shared" si="18"/>
        <v>0</v>
      </c>
    </row>
    <row r="280" spans="2:12" ht="15" customHeight="1" x14ac:dyDescent="0.25">
      <c r="B280" s="43" t="s">
        <v>175</v>
      </c>
      <c r="C280" s="40"/>
      <c r="D280" s="40">
        <f>SUM(H275)</f>
        <v>0</v>
      </c>
      <c r="E280" s="40"/>
      <c r="F280" s="40"/>
      <c r="G280" s="51"/>
      <c r="H280" s="47"/>
      <c r="I280" s="50" t="s">
        <v>63</v>
      </c>
      <c r="K280" s="9">
        <f>SUM(C280:F280)*250</f>
        <v>0</v>
      </c>
      <c r="L280" s="9">
        <f t="shared" si="18"/>
        <v>0</v>
      </c>
    </row>
    <row r="281" spans="2:12" ht="15" customHeight="1" x14ac:dyDescent="0.25">
      <c r="B281" s="41"/>
      <c r="C281" s="33"/>
      <c r="D281" s="33"/>
      <c r="E281" s="33"/>
      <c r="F281" s="33"/>
      <c r="G281" s="51"/>
      <c r="H281" s="47"/>
      <c r="I281" s="52"/>
      <c r="K281" s="9">
        <f>SUM(C281:F281)*35</f>
        <v>0</v>
      </c>
      <c r="L281" s="9">
        <f t="shared" si="18"/>
        <v>0</v>
      </c>
    </row>
    <row r="282" spans="2:12" ht="15" customHeight="1" x14ac:dyDescent="0.25">
      <c r="B282" s="38" t="s">
        <v>191</v>
      </c>
      <c r="C282" s="40"/>
      <c r="D282" s="40"/>
      <c r="E282" s="40"/>
      <c r="F282" s="40"/>
      <c r="G282" s="51"/>
      <c r="H282" s="45"/>
      <c r="I282" s="37"/>
      <c r="K282" s="9">
        <f>SUM(C282:F282)*35</f>
        <v>0</v>
      </c>
      <c r="L282" s="9">
        <f t="shared" si="18"/>
        <v>0</v>
      </c>
    </row>
    <row r="283" spans="2:12" ht="15" customHeight="1" x14ac:dyDescent="0.25">
      <c r="B283" s="41" t="s">
        <v>191</v>
      </c>
      <c r="C283" s="40"/>
      <c r="D283" s="40"/>
      <c r="E283" s="40"/>
      <c r="F283" s="40"/>
      <c r="G283" s="35"/>
      <c r="H283" s="48">
        <f>H282</f>
        <v>0</v>
      </c>
      <c r="I283" s="37"/>
      <c r="J283" s="9">
        <f>SUM(H282)*50</f>
        <v>0</v>
      </c>
      <c r="K283" s="9">
        <f>SUM(C283:F283)*35</f>
        <v>0</v>
      </c>
      <c r="L283" s="9">
        <f t="shared" si="18"/>
        <v>0</v>
      </c>
    </row>
    <row r="284" spans="2:12" ht="15" customHeight="1" x14ac:dyDescent="0.25">
      <c r="B284" s="43" t="s">
        <v>234</v>
      </c>
      <c r="C284" s="40"/>
      <c r="D284" s="40"/>
      <c r="E284" s="40">
        <f>SUM(H282)</f>
        <v>0</v>
      </c>
      <c r="F284" s="40"/>
      <c r="G284" s="51"/>
      <c r="H284" s="47">
        <f>H282</f>
        <v>0</v>
      </c>
      <c r="I284" s="37" t="s">
        <v>15</v>
      </c>
      <c r="J284" s="9">
        <f>SUM(E284)*50</f>
        <v>0</v>
      </c>
      <c r="K284" s="9"/>
      <c r="L284" s="9">
        <f>SUM(C284:F284)*50</f>
        <v>0</v>
      </c>
    </row>
    <row r="285" spans="2:12" ht="15" customHeight="1" x14ac:dyDescent="0.25">
      <c r="B285" s="43"/>
      <c r="C285" s="40"/>
      <c r="D285" s="40"/>
      <c r="E285" s="40"/>
      <c r="F285" s="40"/>
      <c r="G285" s="51"/>
      <c r="H285" s="47">
        <f>H282</f>
        <v>0</v>
      </c>
      <c r="I285" s="37"/>
      <c r="K285" s="9">
        <f>SUM(C285:F285)*35</f>
        <v>0</v>
      </c>
      <c r="L285" s="9">
        <f t="shared" si="18"/>
        <v>0</v>
      </c>
    </row>
    <row r="286" spans="2:12" ht="15" customHeight="1" x14ac:dyDescent="0.25">
      <c r="B286" s="38" t="s">
        <v>305</v>
      </c>
      <c r="C286" s="33"/>
      <c r="D286" s="33"/>
      <c r="E286" s="33"/>
      <c r="F286" s="33"/>
      <c r="G286" s="51"/>
      <c r="H286" s="45"/>
      <c r="I286" s="37"/>
      <c r="K286" s="9"/>
      <c r="L286" s="9"/>
    </row>
    <row r="287" spans="2:12" ht="15" customHeight="1" x14ac:dyDescent="0.25">
      <c r="B287" s="41" t="s">
        <v>306</v>
      </c>
      <c r="C287" s="33"/>
      <c r="D287" s="33"/>
      <c r="E287" s="33"/>
      <c r="F287" s="33">
        <f>SUM(H286)</f>
        <v>0</v>
      </c>
      <c r="G287" s="51"/>
      <c r="H287" s="45"/>
      <c r="I287" s="37" t="s">
        <v>15</v>
      </c>
      <c r="J287" s="9">
        <f>SUM(F287)*50</f>
        <v>0</v>
      </c>
      <c r="K287" s="9"/>
      <c r="L287" s="9">
        <f>SUM(C287:F287)*50</f>
        <v>0</v>
      </c>
    </row>
    <row r="288" spans="2:12" ht="15" customHeight="1" x14ac:dyDescent="0.25">
      <c r="B288" s="41" t="s">
        <v>307</v>
      </c>
      <c r="C288" s="33">
        <f>SUM(H286)</f>
        <v>0</v>
      </c>
      <c r="D288" s="33"/>
      <c r="E288" s="33"/>
      <c r="F288" s="33"/>
      <c r="G288" s="51"/>
      <c r="H288" s="45"/>
      <c r="I288" s="37" t="s">
        <v>267</v>
      </c>
      <c r="K288" s="9">
        <f>SUM(35*H286)</f>
        <v>0</v>
      </c>
      <c r="L288" s="9">
        <f>SUM(C288:F288)*50</f>
        <v>0</v>
      </c>
    </row>
    <row r="289" spans="2:13" ht="15" customHeight="1" x14ac:dyDescent="0.25">
      <c r="B289" s="41" t="s">
        <v>308</v>
      </c>
      <c r="C289" s="33">
        <f>SUM(H286)</f>
        <v>0</v>
      </c>
      <c r="D289" s="33"/>
      <c r="E289" s="33"/>
      <c r="F289" s="33"/>
      <c r="G289" s="51"/>
      <c r="H289" s="45"/>
      <c r="I289" s="37" t="s">
        <v>267</v>
      </c>
      <c r="K289" s="9">
        <f>SUM(35*H286)</f>
        <v>0</v>
      </c>
      <c r="L289" s="9">
        <f>SUM(C289:F289)*50</f>
        <v>0</v>
      </c>
    </row>
    <row r="290" spans="2:13" ht="15" customHeight="1" x14ac:dyDescent="0.25">
      <c r="B290" s="41" t="s">
        <v>309</v>
      </c>
      <c r="C290" s="33"/>
      <c r="D290" s="33">
        <f>SUM(H286)</f>
        <v>0</v>
      </c>
      <c r="E290" s="33"/>
      <c r="F290" s="33"/>
      <c r="G290" s="51"/>
      <c r="H290" s="45"/>
      <c r="I290" s="52" t="s">
        <v>144</v>
      </c>
      <c r="K290" s="9">
        <f>SUM(C290:F290)*350</f>
        <v>0</v>
      </c>
      <c r="L290" s="9">
        <f>SUM(C290:F290)*50</f>
        <v>0</v>
      </c>
    </row>
    <row r="291" spans="2:13" ht="15" customHeight="1" x14ac:dyDescent="0.25">
      <c r="B291" s="43"/>
      <c r="C291" s="40"/>
      <c r="D291" s="40"/>
      <c r="E291" s="40"/>
      <c r="F291" s="40"/>
      <c r="G291" s="51"/>
      <c r="H291" s="45"/>
      <c r="I291" s="37"/>
      <c r="K291" s="9"/>
      <c r="L291" s="9"/>
    </row>
    <row r="292" spans="2:13" ht="15" customHeight="1" x14ac:dyDescent="0.25">
      <c r="B292" s="38" t="s">
        <v>310</v>
      </c>
      <c r="C292" s="40"/>
      <c r="D292" s="40"/>
      <c r="E292" s="40"/>
      <c r="F292" s="40"/>
      <c r="G292" s="51"/>
      <c r="H292" s="45"/>
      <c r="I292" s="37"/>
      <c r="K292" s="9"/>
      <c r="L292" s="9"/>
    </row>
    <row r="293" spans="2:13" ht="15" customHeight="1" x14ac:dyDescent="0.25">
      <c r="B293" s="43" t="s">
        <v>10</v>
      </c>
      <c r="C293" s="40">
        <f>SUM(H292)</f>
        <v>0</v>
      </c>
      <c r="D293" s="40"/>
      <c r="E293" s="40"/>
      <c r="F293" s="40"/>
      <c r="G293" s="51"/>
      <c r="H293" s="45"/>
      <c r="I293" s="37"/>
      <c r="K293" s="9"/>
      <c r="L293" s="9">
        <f>SUM(C293:F293)*50</f>
        <v>0</v>
      </c>
    </row>
    <row r="294" spans="2:13" ht="15" customHeight="1" x14ac:dyDescent="0.25">
      <c r="B294" s="43" t="s">
        <v>311</v>
      </c>
      <c r="C294" s="40"/>
      <c r="D294" s="40">
        <f>SUM(H292)</f>
        <v>0</v>
      </c>
      <c r="E294" s="40"/>
      <c r="F294" s="40"/>
      <c r="G294" s="51"/>
      <c r="H294" s="45"/>
      <c r="I294" s="37"/>
      <c r="K294" s="9"/>
      <c r="L294" s="9">
        <f>SUM(C294:F294)*50</f>
        <v>0</v>
      </c>
    </row>
    <row r="295" spans="2:13" ht="15" customHeight="1" x14ac:dyDescent="0.25">
      <c r="B295" s="56"/>
      <c r="C295" s="57">
        <f>SUM(C2:C290)</f>
        <v>0</v>
      </c>
      <c r="D295" s="57">
        <f>SUM(D2:D290)</f>
        <v>0</v>
      </c>
      <c r="E295" s="57">
        <f>SUM(E2:E290)</f>
        <v>0</v>
      </c>
      <c r="F295" s="57">
        <f>SUM(F2:F290)</f>
        <v>0</v>
      </c>
      <c r="G295" s="57">
        <f>SUM(C295:F295)</f>
        <v>0</v>
      </c>
      <c r="H295" s="58">
        <v>1</v>
      </c>
      <c r="I295" s="59"/>
      <c r="L295" s="9"/>
    </row>
    <row r="296" spans="2:13" ht="13.2" x14ac:dyDescent="0.25">
      <c r="B296" s="60"/>
      <c r="C296" s="61"/>
      <c r="D296" s="61"/>
      <c r="E296" s="61"/>
      <c r="F296" s="61"/>
      <c r="G296" s="62"/>
      <c r="H296" s="63">
        <v>1</v>
      </c>
      <c r="I296" s="64"/>
      <c r="J296" s="12">
        <f>SUM(J1:J295)</f>
        <v>250</v>
      </c>
      <c r="K296" s="12">
        <f>SUM(K1:K295)</f>
        <v>0</v>
      </c>
      <c r="L296" s="12">
        <f>SUM(L1:L295)</f>
        <v>100</v>
      </c>
    </row>
    <row r="297" spans="2:13" ht="13.2" x14ac:dyDescent="0.25">
      <c r="B297" s="60"/>
      <c r="C297" s="61"/>
      <c r="D297" s="61"/>
      <c r="E297" s="61"/>
      <c r="F297" s="61"/>
      <c r="G297" s="62"/>
      <c r="H297" s="63">
        <v>1</v>
      </c>
      <c r="I297" s="64"/>
      <c r="K297" s="12">
        <f>SUM(K296)/0.8</f>
        <v>0</v>
      </c>
      <c r="L297" s="8" t="s">
        <v>259</v>
      </c>
    </row>
    <row r="298" spans="2:13" ht="13.2" x14ac:dyDescent="0.25">
      <c r="B298" s="60" t="s">
        <v>236</v>
      </c>
      <c r="C298" s="61" t="s">
        <v>237</v>
      </c>
      <c r="D298" s="61"/>
      <c r="E298" s="61"/>
      <c r="F298" s="61"/>
      <c r="G298" s="62"/>
      <c r="H298" s="63">
        <v>1</v>
      </c>
      <c r="I298" s="64"/>
    </row>
    <row r="299" spans="2:13" ht="13.2" x14ac:dyDescent="0.25">
      <c r="B299" s="60" t="s">
        <v>238</v>
      </c>
      <c r="C299" s="61">
        <v>1</v>
      </c>
      <c r="D299" s="61"/>
      <c r="E299" s="61"/>
      <c r="F299" s="61"/>
      <c r="G299" s="62"/>
      <c r="H299" s="63">
        <v>1</v>
      </c>
      <c r="I299" s="64"/>
      <c r="K299" s="8">
        <f>SUM(C299)*1980</f>
        <v>1980</v>
      </c>
      <c r="L299" s="8">
        <v>1070</v>
      </c>
      <c r="M299" s="2" t="s">
        <v>239</v>
      </c>
    </row>
    <row r="300" spans="2:13" ht="13.2" x14ac:dyDescent="0.25">
      <c r="B300" s="60" t="s">
        <v>284</v>
      </c>
      <c r="C300" s="61">
        <v>1</v>
      </c>
      <c r="D300" s="61"/>
      <c r="E300" s="61"/>
      <c r="F300" s="61"/>
      <c r="G300" s="62"/>
      <c r="H300" s="63">
        <v>1</v>
      </c>
      <c r="I300" s="64"/>
      <c r="K300" s="8">
        <f>SUM(C300)*350</f>
        <v>350</v>
      </c>
    </row>
    <row r="301" spans="2:13" ht="13.2" x14ac:dyDescent="0.25">
      <c r="B301" s="60" t="s">
        <v>285</v>
      </c>
      <c r="C301" s="61">
        <v>1</v>
      </c>
      <c r="D301" s="61"/>
      <c r="E301" s="61"/>
      <c r="F301" s="61"/>
      <c r="G301" s="62"/>
      <c r="H301" s="63">
        <v>1</v>
      </c>
      <c r="I301" s="64"/>
      <c r="K301" s="8">
        <f>SUM(C301)*900</f>
        <v>900</v>
      </c>
    </row>
    <row r="302" spans="2:13" ht="13.2" x14ac:dyDescent="0.25">
      <c r="B302" s="60"/>
      <c r="C302" s="61"/>
      <c r="D302" s="61"/>
      <c r="E302" s="61"/>
      <c r="F302" s="61"/>
      <c r="G302" s="62"/>
      <c r="H302" s="63">
        <v>1</v>
      </c>
      <c r="I302" s="64"/>
    </row>
    <row r="303" spans="2:13" ht="13.2" x14ac:dyDescent="0.25">
      <c r="B303" s="60" t="s">
        <v>240</v>
      </c>
      <c r="C303" s="61"/>
      <c r="D303" s="61"/>
      <c r="E303" s="61"/>
      <c r="F303" s="61"/>
      <c r="G303" s="62"/>
      <c r="H303" s="63">
        <v>1</v>
      </c>
      <c r="I303" s="64"/>
      <c r="J303" s="8" t="s">
        <v>241</v>
      </c>
      <c r="K303" s="13">
        <f>SUM(K299:K302)</f>
        <v>3230</v>
      </c>
    </row>
    <row r="304" spans="2:13" ht="13.2" x14ac:dyDescent="0.25">
      <c r="B304" s="60" t="s">
        <v>286</v>
      </c>
      <c r="C304" s="65">
        <f>SUM(J296)</f>
        <v>250</v>
      </c>
      <c r="D304" s="65"/>
      <c r="E304" s="65"/>
      <c r="F304" s="61"/>
      <c r="G304" s="62"/>
      <c r="H304" s="63">
        <v>1</v>
      </c>
      <c r="I304" s="64"/>
    </row>
    <row r="305" spans="2:12" ht="13.2" x14ac:dyDescent="0.25">
      <c r="B305" s="60" t="s">
        <v>242</v>
      </c>
      <c r="C305" s="65">
        <f>SUM(K297)</f>
        <v>0</v>
      </c>
      <c r="D305" s="65"/>
      <c r="E305" s="65"/>
      <c r="F305" s="61"/>
      <c r="G305" s="62"/>
      <c r="H305" s="63">
        <v>1</v>
      </c>
      <c r="I305" s="64"/>
      <c r="J305" s="8" t="s">
        <v>243</v>
      </c>
      <c r="K305" s="8">
        <v>19275</v>
      </c>
    </row>
    <row r="306" spans="2:12" ht="13.2" x14ac:dyDescent="0.25">
      <c r="B306" s="60" t="s">
        <v>244</v>
      </c>
      <c r="C306" s="65">
        <f>SUM(K303)</f>
        <v>3230</v>
      </c>
      <c r="D306" s="65"/>
      <c r="E306" s="65"/>
      <c r="F306" s="61"/>
      <c r="G306" s="62"/>
      <c r="H306" s="63">
        <v>1</v>
      </c>
      <c r="I306" s="64"/>
    </row>
    <row r="307" spans="2:12" ht="13.2" x14ac:dyDescent="0.25">
      <c r="B307" s="60" t="s">
        <v>245</v>
      </c>
      <c r="C307" s="65">
        <f>SUM(G295)*50</f>
        <v>0</v>
      </c>
      <c r="D307" s="65"/>
      <c r="E307" s="65"/>
      <c r="F307" s="61"/>
      <c r="G307" s="62"/>
      <c r="H307" s="63">
        <v>1</v>
      </c>
      <c r="I307" s="64"/>
    </row>
    <row r="308" spans="2:12" ht="13.2" x14ac:dyDescent="0.25">
      <c r="B308" s="60" t="s">
        <v>287</v>
      </c>
      <c r="C308" s="65">
        <f>SUM(G296)*50</f>
        <v>0</v>
      </c>
      <c r="D308" s="65"/>
      <c r="E308" s="65"/>
      <c r="F308" s="61"/>
      <c r="G308" s="62"/>
      <c r="H308" s="63">
        <v>1</v>
      </c>
      <c r="I308" s="64"/>
    </row>
    <row r="309" spans="2:12" ht="13.2" x14ac:dyDescent="0.25">
      <c r="B309" s="60"/>
      <c r="C309" s="61"/>
      <c r="D309" s="61"/>
      <c r="E309" s="61"/>
      <c r="F309" s="61"/>
      <c r="G309" s="62"/>
      <c r="H309" s="63">
        <v>1</v>
      </c>
      <c r="I309" s="64"/>
    </row>
    <row r="310" spans="2:12" ht="13.2" x14ac:dyDescent="0.25">
      <c r="B310" s="60" t="s">
        <v>246</v>
      </c>
      <c r="C310" s="65">
        <f>SUM(C304:E308)</f>
        <v>3480</v>
      </c>
      <c r="D310" s="65"/>
      <c r="E310" s="65"/>
      <c r="F310" s="61"/>
      <c r="G310" s="62"/>
      <c r="H310" s="63">
        <v>1</v>
      </c>
      <c r="I310" s="66"/>
      <c r="J310" s="2"/>
      <c r="K310" s="2"/>
      <c r="L310" s="2"/>
    </row>
    <row r="311" spans="2:12" ht="13.2" x14ac:dyDescent="0.25">
      <c r="B311" s="67"/>
      <c r="C311" s="68"/>
      <c r="D311" s="68"/>
      <c r="E311" s="68"/>
      <c r="F311" s="68"/>
      <c r="G311" s="68"/>
      <c r="H311" s="63">
        <v>1</v>
      </c>
      <c r="I311" s="69"/>
      <c r="J311" s="2"/>
      <c r="K311" s="2"/>
      <c r="L311" s="2"/>
    </row>
    <row r="312" spans="2:12" ht="13.2" x14ac:dyDescent="0.25">
      <c r="B312" s="67" t="s">
        <v>247</v>
      </c>
      <c r="C312" s="68"/>
      <c r="D312" s="68"/>
      <c r="E312" s="68"/>
      <c r="F312" s="68"/>
      <c r="G312" s="68"/>
      <c r="H312" s="63">
        <v>1</v>
      </c>
      <c r="I312" s="69"/>
      <c r="J312" s="2"/>
      <c r="K312" s="2"/>
      <c r="L312" s="2"/>
    </row>
    <row r="313" spans="2:12" ht="13.2" x14ac:dyDescent="0.25">
      <c r="B313" s="67"/>
      <c r="C313" s="68"/>
      <c r="D313" s="68"/>
      <c r="E313" s="68"/>
      <c r="F313" s="68"/>
      <c r="G313" s="68"/>
      <c r="H313" s="63">
        <v>1</v>
      </c>
      <c r="I313" s="69"/>
      <c r="J313" s="2"/>
      <c r="K313" s="2"/>
      <c r="L313" s="2"/>
    </row>
    <row r="314" spans="2:12" ht="13.2" x14ac:dyDescent="0.25">
      <c r="B314" s="67" t="s">
        <v>261</v>
      </c>
      <c r="C314" s="68"/>
      <c r="D314" s="68"/>
      <c r="E314" s="68"/>
      <c r="F314" s="68"/>
      <c r="G314" s="68"/>
      <c r="H314" s="63">
        <v>1</v>
      </c>
      <c r="I314" s="69"/>
      <c r="J314" s="2"/>
      <c r="K314" s="2"/>
      <c r="L314" s="2"/>
    </row>
    <row r="315" spans="2:12" ht="13.2" x14ac:dyDescent="0.25">
      <c r="B315" s="67" t="s">
        <v>248</v>
      </c>
      <c r="C315" s="68"/>
      <c r="D315" s="68"/>
      <c r="E315" s="68"/>
      <c r="F315" s="68"/>
      <c r="G315" s="68"/>
      <c r="H315" s="63">
        <v>1</v>
      </c>
      <c r="I315" s="69"/>
      <c r="J315" s="2"/>
      <c r="K315" s="2"/>
      <c r="L315" s="2"/>
    </row>
    <row r="316" spans="2:12" ht="13.2" x14ac:dyDescent="0.25">
      <c r="B316" s="67" t="s">
        <v>249</v>
      </c>
      <c r="C316" s="68"/>
      <c r="D316" s="68"/>
      <c r="E316" s="68"/>
      <c r="F316" s="68"/>
      <c r="G316" s="68"/>
      <c r="H316" s="63">
        <v>1</v>
      </c>
      <c r="I316" s="69"/>
      <c r="J316" s="2"/>
      <c r="K316" s="2"/>
      <c r="L316" s="2"/>
    </row>
    <row r="317" spans="2:12" ht="13.2" x14ac:dyDescent="0.25">
      <c r="B317" s="67" t="s">
        <v>250</v>
      </c>
      <c r="C317" s="68"/>
      <c r="D317" s="68"/>
      <c r="E317" s="68"/>
      <c r="F317" s="68"/>
      <c r="G317" s="68"/>
      <c r="H317" s="63">
        <v>1</v>
      </c>
      <c r="I317" s="69"/>
      <c r="J317" s="2"/>
      <c r="K317" s="2"/>
      <c r="L317" s="2"/>
    </row>
    <row r="318" spans="2:12" ht="13.2" x14ac:dyDescent="0.25">
      <c r="B318" s="67" t="s">
        <v>251</v>
      </c>
      <c r="C318" s="68"/>
      <c r="D318" s="68"/>
      <c r="E318" s="68"/>
      <c r="F318" s="68"/>
      <c r="G318" s="68"/>
      <c r="H318" s="70">
        <v>1</v>
      </c>
      <c r="I318" s="69"/>
      <c r="J318" s="2"/>
      <c r="K318" s="2"/>
      <c r="L318" s="2"/>
    </row>
    <row r="319" spans="2:12" ht="13.2" x14ac:dyDescent="0.25">
      <c r="B319" s="67" t="s">
        <v>252</v>
      </c>
      <c r="C319" s="68"/>
      <c r="D319" s="68"/>
      <c r="E319" s="68"/>
      <c r="F319" s="68"/>
      <c r="G319" s="68"/>
      <c r="H319" s="70">
        <v>1</v>
      </c>
      <c r="I319" s="69"/>
      <c r="J319" s="2"/>
      <c r="K319" s="2"/>
      <c r="L319" s="2"/>
    </row>
    <row r="320" spans="2:12" ht="13.2" x14ac:dyDescent="0.25">
      <c r="B320" s="67" t="s">
        <v>258</v>
      </c>
      <c r="C320" s="68"/>
      <c r="D320" s="68"/>
      <c r="E320" s="68"/>
      <c r="F320" s="68"/>
      <c r="G320" s="68"/>
      <c r="H320" s="70">
        <v>1</v>
      </c>
      <c r="I320" s="69"/>
      <c r="J320" s="2"/>
      <c r="K320" s="2"/>
      <c r="L320" s="2"/>
    </row>
    <row r="321" spans="2:12" ht="13.2" x14ac:dyDescent="0.25">
      <c r="B321" s="67"/>
      <c r="C321" s="68"/>
      <c r="D321" s="68"/>
      <c r="E321" s="68"/>
      <c r="F321" s="68"/>
      <c r="G321" s="68"/>
      <c r="H321" s="70">
        <v>1</v>
      </c>
      <c r="I321" s="69"/>
      <c r="J321" s="2"/>
      <c r="K321" s="2"/>
      <c r="L321" s="2"/>
    </row>
    <row r="322" spans="2:12" ht="13.2" x14ac:dyDescent="0.25">
      <c r="B322" s="67" t="s">
        <v>253</v>
      </c>
      <c r="C322" s="68"/>
      <c r="D322" s="68"/>
      <c r="E322" s="68"/>
      <c r="F322" s="68"/>
      <c r="G322" s="68"/>
      <c r="H322" s="70">
        <v>1</v>
      </c>
      <c r="I322" s="69"/>
      <c r="J322" s="2"/>
      <c r="K322" s="2"/>
      <c r="L322" s="2"/>
    </row>
    <row r="323" spans="2:12" ht="13.2" x14ac:dyDescent="0.25">
      <c r="B323" s="67" t="s">
        <v>254</v>
      </c>
      <c r="C323" s="68"/>
      <c r="D323" s="68"/>
      <c r="E323" s="68"/>
      <c r="F323" s="68"/>
      <c r="G323" s="68"/>
      <c r="H323" s="70">
        <v>1</v>
      </c>
      <c r="I323" s="69"/>
      <c r="J323" s="2"/>
      <c r="K323" s="2"/>
      <c r="L323" s="2"/>
    </row>
    <row r="324" spans="2:12" ht="13.2" x14ac:dyDescent="0.25">
      <c r="B324" s="67" t="s">
        <v>255</v>
      </c>
      <c r="C324" s="68"/>
      <c r="D324" s="68"/>
      <c r="E324" s="68"/>
      <c r="F324" s="68"/>
      <c r="G324" s="68"/>
      <c r="H324" s="71"/>
      <c r="I324" s="69"/>
      <c r="J324" s="2"/>
      <c r="K324" s="2"/>
      <c r="L324" s="2"/>
    </row>
    <row r="325" spans="2:12" ht="13.2" x14ac:dyDescent="0.25">
      <c r="B325" s="67" t="s">
        <v>260</v>
      </c>
      <c r="C325" s="68"/>
      <c r="D325" s="68"/>
      <c r="E325" s="68"/>
      <c r="F325" s="68"/>
      <c r="G325" s="68"/>
      <c r="H325" s="71"/>
      <c r="I325" s="69"/>
      <c r="J325" s="2"/>
      <c r="K325" s="2"/>
      <c r="L325" s="2"/>
    </row>
    <row r="326" spans="2:12" ht="13.2" x14ac:dyDescent="0.25">
      <c r="B326" s="67" t="s">
        <v>256</v>
      </c>
      <c r="C326" s="68"/>
      <c r="D326" s="68"/>
      <c r="E326" s="68"/>
      <c r="F326" s="68"/>
      <c r="G326" s="68"/>
      <c r="H326" s="71"/>
      <c r="I326" s="69"/>
      <c r="J326" s="2"/>
      <c r="K326" s="2"/>
      <c r="L326" s="2"/>
    </row>
    <row r="327" spans="2:12" ht="13.2" x14ac:dyDescent="0.25">
      <c r="B327" s="67" t="s">
        <v>257</v>
      </c>
      <c r="C327" s="68"/>
      <c r="D327" s="68"/>
      <c r="E327" s="68"/>
      <c r="F327" s="68"/>
      <c r="G327" s="68"/>
      <c r="H327" s="71"/>
      <c r="I327" s="69"/>
      <c r="J327" s="2"/>
      <c r="K327" s="2"/>
      <c r="L327" s="2"/>
    </row>
    <row r="328" spans="2:12" ht="13.2" x14ac:dyDescent="0.25">
      <c r="B328" s="72" t="s">
        <v>292</v>
      </c>
      <c r="C328" s="73"/>
      <c r="D328" s="73"/>
      <c r="E328" s="73"/>
      <c r="F328" s="73"/>
      <c r="G328" s="73"/>
      <c r="H328" s="73"/>
      <c r="I328" s="74"/>
      <c r="J328" s="2"/>
      <c r="K328" s="2"/>
      <c r="L328" s="2"/>
    </row>
  </sheetData>
  <mergeCells count="14">
    <mergeCell ref="B328:I328"/>
    <mergeCell ref="C310:E310"/>
    <mergeCell ref="C308:E308"/>
    <mergeCell ref="J5:L5"/>
    <mergeCell ref="C304:E304"/>
    <mergeCell ref="C305:E305"/>
    <mergeCell ref="C306:E306"/>
    <mergeCell ref="C307:E307"/>
    <mergeCell ref="H1:I5"/>
    <mergeCell ref="E2:G2"/>
    <mergeCell ref="E3:G3"/>
    <mergeCell ref="C1:G1"/>
    <mergeCell ref="C2:D5"/>
    <mergeCell ref="E4:G5"/>
  </mergeCells>
  <printOptions horizontalCentered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2024-10-05T14:41:37Z</cp:lastPrinted>
  <dcterms:created xsi:type="dcterms:W3CDTF">2005-08-31T09:40:21Z</dcterms:created>
  <dcterms:modified xsi:type="dcterms:W3CDTF">2026-10-09T14:20:12Z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